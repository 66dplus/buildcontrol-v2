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Бюджет" sheetId="1" state="visible" r:id="rId3"/>
    <sheet name="2. Этапы и задачи" sheetId="2" state="visible" r:id="rId4"/>
    <sheet name="3. Материалы" sheetId="3" state="visible" r:id="rId5"/>
    <sheet name="4. Трудозатраты" sheetId="4" state="visible" r:id="rId6"/>
    <sheet name="5. Техник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<sst xmlns="http://schemas.openxmlformats.org/spreadsheetml/2006/main" count="361" uniqueCount="155">
  <si>
    <t xml:space="preserve">Этап</t>
  </si>
  <si>
    <t xml:space="preserve">Ед. изм.</t>
  </si>
  <si>
    <t xml:space="preserve">Объём план</t>
  </si>
  <si>
    <t xml:space="preserve">Цена ед. план, ₽</t>
  </si>
  <si>
    <t xml:space="preserve">Материалы план, ₽</t>
  </si>
  <si>
    <t xml:space="preserve">ФОТ план, ₽</t>
  </si>
  <si>
    <t xml:space="preserve">Техника план, ₽</t>
  </si>
  <si>
    <t xml:space="preserve">Прочее план, ₽</t>
  </si>
  <si>
    <t xml:space="preserve">Итого план, ₽</t>
  </si>
  <si>
    <t xml:space="preserve">Материалы факт, ₽</t>
  </si>
  <si>
    <t xml:space="preserve">ФОТ факт, ₽</t>
  </si>
  <si>
    <t xml:space="preserve">Техника факт, ₽</t>
  </si>
  <si>
    <t xml:space="preserve">Прочее факт, ₽</t>
  </si>
  <si>
    <t xml:space="preserve">Итого факт, ₽</t>
  </si>
  <si>
    <t xml:space="preserve">1. Подготовительные работы</t>
  </si>
  <si>
    <t xml:space="preserve">компл.</t>
  </si>
  <si>
    <t xml:space="preserve">2. Земляные работы</t>
  </si>
  <si>
    <t xml:space="preserve">м³</t>
  </si>
  <si>
    <t xml:space="preserve">3. Фундамент</t>
  </si>
  <si>
    <t xml:space="preserve">4. Стены и перекрытия</t>
  </si>
  <si>
    <t xml:space="preserve">м²</t>
  </si>
  <si>
    <t xml:space="preserve">5. Кровля</t>
  </si>
  <si>
    <t xml:space="preserve">6. Фасад и окна</t>
  </si>
  <si>
    <t xml:space="preserve">7. Внутренняя отделка</t>
  </si>
  <si>
    <t xml:space="preserve">8. Инженерные системы</t>
  </si>
  <si>
    <t xml:space="preserve">усл.</t>
  </si>
  <si>
    <t xml:space="preserve">9. Благоустройство</t>
  </si>
  <si>
    <t xml:space="preserve">ИТОГО</t>
  </si>
  <si>
    <t xml:space="preserve">Задача</t>
  </si>
  <si>
    <t xml:space="preserve">Отв. прораб</t>
  </si>
  <si>
    <t xml:space="preserve">Дата нач. план</t>
  </si>
  <si>
    <t xml:space="preserve">Дата ок. план</t>
  </si>
  <si>
    <t xml:space="preserve">Готовн. план, %</t>
  </si>
  <si>
    <t xml:space="preserve">Бюджет план, ₽</t>
  </si>
  <si>
    <t xml:space="preserve">Дата нач. факт</t>
  </si>
  <si>
    <t xml:space="preserve">Дата ок. факт</t>
  </si>
  <si>
    <t xml:space="preserve">Готовн. факт, %</t>
  </si>
  <si>
    <t xml:space="preserve">Бюджет факт, ₽</t>
  </si>
  <si>
    <t xml:space="preserve">Временные здания и сооружения</t>
  </si>
  <si>
    <t xml:space="preserve">Иванов А.П.</t>
  </si>
  <si>
    <t xml:space="preserve">01.06.2026</t>
  </si>
  <si>
    <t xml:space="preserve">07.06.2026</t>
  </si>
  <si>
    <t xml:space="preserve">Ограждение стройплощадки</t>
  </si>
  <si>
    <t xml:space="preserve">05.06.2026</t>
  </si>
  <si>
    <t xml:space="preserve">Подключение к коммуникациям</t>
  </si>
  <si>
    <t xml:space="preserve">03.06.2026</t>
  </si>
  <si>
    <t xml:space="preserve">10.06.2026</t>
  </si>
  <si>
    <t xml:space="preserve">Разработка котлована</t>
  </si>
  <si>
    <t xml:space="preserve">08.06.2026</t>
  </si>
  <si>
    <t xml:space="preserve">22.06.2026</t>
  </si>
  <si>
    <t xml:space="preserve">Планировка территории</t>
  </si>
  <si>
    <t xml:space="preserve">20.06.2026</t>
  </si>
  <si>
    <t xml:space="preserve">28.06.2026</t>
  </si>
  <si>
    <t xml:space="preserve">Устройство подушки</t>
  </si>
  <si>
    <t xml:space="preserve">25.06.2026</t>
  </si>
  <si>
    <t xml:space="preserve">05.07.2026</t>
  </si>
  <si>
    <t xml:space="preserve">Монолитный ростверк</t>
  </si>
  <si>
    <t xml:space="preserve">03.07.2026</t>
  </si>
  <si>
    <t xml:space="preserve">20.07.2026</t>
  </si>
  <si>
    <t xml:space="preserve">Гидроизоляция фундамента</t>
  </si>
  <si>
    <t xml:space="preserve">18.07.2026</t>
  </si>
  <si>
    <t xml:space="preserve">25.07.2026</t>
  </si>
  <si>
    <t xml:space="preserve">Кладка стен 1-го этажа</t>
  </si>
  <si>
    <t xml:space="preserve">22.07.2026</t>
  </si>
  <si>
    <t xml:space="preserve">15.08.2026</t>
  </si>
  <si>
    <t xml:space="preserve">Кладка стен 2-го этажа</t>
  </si>
  <si>
    <t xml:space="preserve">12.08.2026</t>
  </si>
  <si>
    <t xml:space="preserve">05.09.2026</t>
  </si>
  <si>
    <t xml:space="preserve">Устройство перекрытий</t>
  </si>
  <si>
    <t xml:space="preserve">03.09.2026</t>
  </si>
  <si>
    <t xml:space="preserve">20.09.2026</t>
  </si>
  <si>
    <t xml:space="preserve">Стропильная система</t>
  </si>
  <si>
    <t xml:space="preserve">18.09.2026</t>
  </si>
  <si>
    <t xml:space="preserve">30.09.2026</t>
  </si>
  <si>
    <t xml:space="preserve">Кровельное покрытие</t>
  </si>
  <si>
    <t xml:space="preserve">28.09.2026</t>
  </si>
  <si>
    <t xml:space="preserve">12.10.2026</t>
  </si>
  <si>
    <t xml:space="preserve">Утепление и штукатурка фасада</t>
  </si>
  <si>
    <t xml:space="preserve">10.10.2026</t>
  </si>
  <si>
    <t xml:space="preserve">28.10.2026</t>
  </si>
  <si>
    <t xml:space="preserve">Окна и двери</t>
  </si>
  <si>
    <t xml:space="preserve">15.10.2026</t>
  </si>
  <si>
    <t xml:space="preserve">30.10.2026</t>
  </si>
  <si>
    <t xml:space="preserve">Черновые полы / штукатурка</t>
  </si>
  <si>
    <t xml:space="preserve">01.11.2026</t>
  </si>
  <si>
    <t xml:space="preserve">20.11.2026</t>
  </si>
  <si>
    <t xml:space="preserve">Чистовая отделка</t>
  </si>
  <si>
    <t xml:space="preserve">15.11.2026</t>
  </si>
  <si>
    <t xml:space="preserve">30.11.2026</t>
  </si>
  <si>
    <t xml:space="preserve">Электромонтаж</t>
  </si>
  <si>
    <t xml:space="preserve">20.10.2026</t>
  </si>
  <si>
    <t xml:space="preserve">10.11.2026</t>
  </si>
  <si>
    <t xml:space="preserve">Сантехника</t>
  </si>
  <si>
    <t xml:space="preserve">25.10.2026</t>
  </si>
  <si>
    <t xml:space="preserve">Вентиляция</t>
  </si>
  <si>
    <t xml:space="preserve">Отмостка</t>
  </si>
  <si>
    <t xml:space="preserve">25.11.2026</t>
  </si>
  <si>
    <t xml:space="preserve">Озеленение и дорожки</t>
  </si>
  <si>
    <t xml:space="preserve">Наименование</t>
  </si>
  <si>
    <t xml:space="preserve">Стоим. план, ₽</t>
  </si>
  <si>
    <t xml:space="preserve">Цена ед. факт, ₽</t>
  </si>
  <si>
    <t xml:space="preserve">Объём куплено</t>
  </si>
  <si>
    <t xml:space="preserve">Объём израсходовано</t>
  </si>
  <si>
    <t xml:space="preserve">Остаток на складе</t>
  </si>
  <si>
    <t xml:space="preserve">Стоим. факт, ₽</t>
  </si>
  <si>
    <t xml:space="preserve">Порог уведомл., %</t>
  </si>
  <si>
    <t xml:space="preserve">Песок строительный</t>
  </si>
  <si>
    <t xml:space="preserve">Щебень фр. 20-40</t>
  </si>
  <si>
    <t xml:space="preserve">Бетон М300</t>
  </si>
  <si>
    <t xml:space="preserve">Арматура 12мм</t>
  </si>
  <si>
    <t xml:space="preserve">тонн</t>
  </si>
  <si>
    <t xml:space="preserve">Опалубка (аренда)</t>
  </si>
  <si>
    <t xml:space="preserve">Гидроизоляция</t>
  </si>
  <si>
    <t xml:space="preserve">Кирпич рядовой</t>
  </si>
  <si>
    <t xml:space="preserve">тыс.шт</t>
  </si>
  <si>
    <t xml:space="preserve">Цемент М400</t>
  </si>
  <si>
    <t xml:space="preserve">Металлопрокат</t>
  </si>
  <si>
    <t xml:space="preserve">Доска обрезная 50мм</t>
  </si>
  <si>
    <t xml:space="preserve">Кровельные материалы</t>
  </si>
  <si>
    <t xml:space="preserve">Утеплитель Пеноплекс</t>
  </si>
  <si>
    <t xml:space="preserve">Крепёж и расходники</t>
  </si>
  <si>
    <t xml:space="preserve">—</t>
  </si>
  <si>
    <t xml:space="preserve">Топливо для техники</t>
  </si>
  <si>
    <t xml:space="preserve">л</t>
  </si>
  <si>
    <t xml:space="preserve">Специальность / бригада</t>
  </si>
  <si>
    <t xml:space="preserve">Кол-во чел.</t>
  </si>
  <si>
    <t xml:space="preserve">Ставка, ₽/час</t>
  </si>
  <si>
    <t xml:space="preserve">Ч-часов план</t>
  </si>
  <si>
    <t xml:space="preserve">Ч-часов факт</t>
  </si>
  <si>
    <t xml:space="preserve">Разнорабочие</t>
  </si>
  <si>
    <t xml:space="preserve">Бетонщики</t>
  </si>
  <si>
    <t xml:space="preserve">Монолитчики (субп.)</t>
  </si>
  <si>
    <t xml:space="preserve">Каменщики</t>
  </si>
  <si>
    <t xml:space="preserve">Сварщик (субп.)</t>
  </si>
  <si>
    <t xml:space="preserve">Кровельщики (субп.)</t>
  </si>
  <si>
    <t xml:space="preserve">Электрики (субп.)</t>
  </si>
  <si>
    <t xml:space="preserve">Сантехники (субп.)</t>
  </si>
  <si>
    <t xml:space="preserve">Весь проект</t>
  </si>
  <si>
    <t xml:space="preserve">Управление</t>
  </si>
  <si>
    <t xml:space="preserve">Прораб</t>
  </si>
  <si>
    <t xml:space="preserve">Техника</t>
  </si>
  <si>
    <t xml:space="preserve">Кол-во ед.</t>
  </si>
  <si>
    <t xml:space="preserve">Цена, ₽/час</t>
  </si>
  <si>
    <t xml:space="preserve">Часов план</t>
  </si>
  <si>
    <t xml:space="preserve">Часов факт</t>
  </si>
  <si>
    <t xml:space="preserve">Экскаватор</t>
  </si>
  <si>
    <t xml:space="preserve">Самосвал 20т</t>
  </si>
  <si>
    <t xml:space="preserve">Бульдозер</t>
  </si>
  <si>
    <t xml:space="preserve">Виброплита</t>
  </si>
  <si>
    <t xml:space="preserve">Автобетоносмеситель</t>
  </si>
  <si>
    <t xml:space="preserve">Автобетононасос</t>
  </si>
  <si>
    <t xml:space="preserve">Кран башенный</t>
  </si>
  <si>
    <t xml:space="preserve">Кран-манипулятор</t>
  </si>
  <si>
    <t xml:space="preserve">Подъёмник фасадный</t>
  </si>
  <si>
    <t xml:space="preserve">Мини-погрузчик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</si>
</sst>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8" min="6" style="0" width="13"/>
    <col collapsed="false" customWidth="true" hidden="false" outlineLevel="0" max="10" min="9" style="0" width="15"/>
    <col collapsed="false" customWidth="true" hidden="false" outlineLevel="0" max="13" min="11" style="0" width="13"/>
    <col collapsed="false" customWidth="true" hidden="false" outlineLevel="0" max="14" min="14" style="0" width="15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8" hidden="false" customHeight="true" outlineLevel="0" collapsed="false">
      <c r="A2" s="2" t="s">
        <v>14</v>
      </c>
      <c r="B2" s="3" t="s">
        <v>15</v>
      </c>
      <c r="C2" s="4" t="n">
        <v>1</v>
      </c>
      <c r="D2" s="4" t="n">
        <v>150000</v>
      </c>
      <c r="E2" s="4" t="n">
        <v>50000</v>
      </c>
      <c r="F2" s="4" t="n">
        <v>65000</v>
      </c>
      <c r="G2" s="4" t="n">
        <v>20000</v>
      </c>
      <c r="H2" s="4" t="n">
        <v>15000</v>
      </c>
      <c r="I2" s="5" t="n">
        <f aca="false">E2+F2+G2+H2</f>
        <v>150000</v>
      </c>
      <c r="J2" s="6"/>
      <c r="K2" s="6"/>
      <c r="L2" s="6"/>
      <c r="M2" s="6"/>
      <c r="N2" s="7" t="str">
        <f aca="false">IF(COUNTA(J2:M2)&gt;0,SUM(J2:M2),"")</f>
        <v/>
      </c>
    </row>
    <row r="3" customFormat="false" ht="18" hidden="false" customHeight="true" outlineLevel="0" collapsed="false">
      <c r="A3" s="8" t="s">
        <v>16</v>
      </c>
      <c r="B3" s="9" t="s">
        <v>17</v>
      </c>
      <c r="C3" s="10" t="n">
        <v>320</v>
      </c>
      <c r="D3" s="10" t="n">
        <v>1500</v>
      </c>
      <c r="E3" s="10" t="n">
        <v>180000</v>
      </c>
      <c r="F3" s="10" t="n">
        <v>240000</v>
      </c>
      <c r="G3" s="10" t="n">
        <v>150000</v>
      </c>
      <c r="H3" s="10" t="n">
        <v>30000</v>
      </c>
      <c r="I3" s="5" t="n">
        <f aca="false">E3+F3+G3+H3</f>
        <v>600000</v>
      </c>
      <c r="J3" s="6"/>
      <c r="K3" s="6"/>
      <c r="L3" s="6"/>
      <c r="M3" s="6"/>
      <c r="N3" s="7" t="str">
        <f aca="false">IF(COUNTA(J3:M3)&gt;0,SUM(J3:M3),"")</f>
        <v/>
      </c>
    </row>
    <row r="4" customFormat="false" ht="18" hidden="false" customHeight="true" outlineLevel="0" collapsed="false">
      <c r="A4" s="2" t="s">
        <v>18</v>
      </c>
      <c r="B4" s="3" t="s">
        <v>17</v>
      </c>
      <c r="C4" s="4" t="n">
        <v>120</v>
      </c>
      <c r="D4" s="4" t="n">
        <v>17500</v>
      </c>
      <c r="E4" s="4" t="n">
        <v>1020000</v>
      </c>
      <c r="F4" s="4" t="n">
        <v>720000</v>
      </c>
      <c r="G4" s="4" t="n">
        <v>200000</v>
      </c>
      <c r="H4" s="4" t="n">
        <v>160000</v>
      </c>
      <c r="I4" s="5" t="n">
        <f aca="false">E4+F4+G4+H4</f>
        <v>2100000</v>
      </c>
      <c r="J4" s="6"/>
      <c r="K4" s="6"/>
      <c r="L4" s="6"/>
      <c r="M4" s="6"/>
      <c r="N4" s="7" t="str">
        <f aca="false">IF(COUNTA(J4:M4)&gt;0,SUM(J4:M4),"")</f>
        <v/>
      </c>
    </row>
    <row r="5" customFormat="false" ht="18" hidden="false" customHeight="true" outlineLevel="0" collapsed="false">
      <c r="A5" s="8" t="s">
        <v>19</v>
      </c>
      <c r="B5" s="9" t="s">
        <v>20</v>
      </c>
      <c r="C5" s="10" t="n">
        <v>850</v>
      </c>
      <c r="D5" s="10" t="n">
        <v>4750</v>
      </c>
      <c r="E5" s="10" t="n">
        <v>1500000</v>
      </c>
      <c r="F5" s="10" t="n">
        <v>1680000</v>
      </c>
      <c r="G5" s="10" t="n">
        <v>80000</v>
      </c>
      <c r="H5" s="10" t="n">
        <v>180000</v>
      </c>
      <c r="I5" s="5" t="n">
        <f aca="false">E5+F5+G5+H5</f>
        <v>3440000</v>
      </c>
      <c r="J5" s="6"/>
      <c r="K5" s="6"/>
      <c r="L5" s="6"/>
      <c r="M5" s="6"/>
      <c r="N5" s="7" t="str">
        <f aca="false">IF(COUNTA(J5:M5)&gt;0,SUM(J5:M5),"")</f>
        <v/>
      </c>
    </row>
    <row r="6" customFormat="false" ht="18" hidden="false" customHeight="true" outlineLevel="0" collapsed="false">
      <c r="A6" s="2" t="s">
        <v>21</v>
      </c>
      <c r="B6" s="3" t="s">
        <v>20</v>
      </c>
      <c r="C6" s="4" t="n">
        <v>180</v>
      </c>
      <c r="D6" s="4" t="n">
        <v>3500</v>
      </c>
      <c r="E6" s="4" t="n">
        <v>216000</v>
      </c>
      <c r="F6" s="4" t="n">
        <v>280000</v>
      </c>
      <c r="G6" s="4" t="n">
        <v>60000</v>
      </c>
      <c r="H6" s="4" t="n">
        <v>50000</v>
      </c>
      <c r="I6" s="5" t="n">
        <f aca="false">E6+F6+G6+H6</f>
        <v>606000</v>
      </c>
      <c r="J6" s="6"/>
      <c r="K6" s="6"/>
      <c r="L6" s="6"/>
      <c r="M6" s="6"/>
      <c r="N6" s="7" t="str">
        <f aca="false">IF(COUNTA(J6:M6)&gt;0,SUM(J6:M6),"")</f>
        <v/>
      </c>
    </row>
    <row r="7" customFormat="false" ht="18" hidden="false" customHeight="true" outlineLevel="0" collapsed="false">
      <c r="A7" s="8" t="s">
        <v>22</v>
      </c>
      <c r="B7" s="9" t="s">
        <v>20</v>
      </c>
      <c r="C7" s="10" t="n">
        <v>420</v>
      </c>
      <c r="D7" s="10" t="n">
        <v>2600</v>
      </c>
      <c r="E7" s="10" t="n">
        <v>420000</v>
      </c>
      <c r="F7" s="10" t="n">
        <v>420000</v>
      </c>
      <c r="G7" s="10" t="n">
        <v>30000</v>
      </c>
      <c r="H7" s="10" t="n">
        <v>102000</v>
      </c>
      <c r="I7" s="5" t="n">
        <f aca="false">E7+F7+G7+H7</f>
        <v>972000</v>
      </c>
      <c r="J7" s="6"/>
      <c r="K7" s="6"/>
      <c r="L7" s="6"/>
      <c r="M7" s="6"/>
      <c r="N7" s="7" t="str">
        <f aca="false">IF(COUNTA(J7:M7)&gt;0,SUM(J7:M7),"")</f>
        <v/>
      </c>
    </row>
    <row r="8" customFormat="false" ht="18" hidden="false" customHeight="true" outlineLevel="0" collapsed="false">
      <c r="A8" s="2" t="s">
        <v>23</v>
      </c>
      <c r="B8" s="3" t="s">
        <v>20</v>
      </c>
      <c r="C8" s="4" t="n">
        <v>580</v>
      </c>
      <c r="D8" s="4" t="n">
        <v>3200</v>
      </c>
      <c r="E8" s="4" t="n">
        <v>580000</v>
      </c>
      <c r="F8" s="4" t="n">
        <v>700000</v>
      </c>
      <c r="G8" s="4" t="n">
        <v>0</v>
      </c>
      <c r="H8" s="4" t="n">
        <v>276000</v>
      </c>
      <c r="I8" s="5" t="n">
        <f aca="false">E8+F8+G8+H8</f>
        <v>1556000</v>
      </c>
      <c r="J8" s="6"/>
      <c r="K8" s="6"/>
      <c r="L8" s="6"/>
      <c r="M8" s="6"/>
      <c r="N8" s="7" t="str">
        <f aca="false">IF(COUNTA(J8:M8)&gt;0,SUM(J8:M8),"")</f>
        <v/>
      </c>
    </row>
    <row r="9" customFormat="false" ht="18" hidden="false" customHeight="true" outlineLevel="0" collapsed="false">
      <c r="A9" s="8" t="s">
        <v>24</v>
      </c>
      <c r="B9" s="9" t="s">
        <v>25</v>
      </c>
      <c r="C9" s="10" t="n">
        <v>1</v>
      </c>
      <c r="D9" s="10" t="n">
        <v>1580000</v>
      </c>
      <c r="E9" s="10" t="n">
        <v>480000</v>
      </c>
      <c r="F9" s="10" t="n">
        <v>580000</v>
      </c>
      <c r="G9" s="10" t="n">
        <v>0</v>
      </c>
      <c r="H9" s="10" t="n">
        <v>520000</v>
      </c>
      <c r="I9" s="5" t="n">
        <f aca="false">E9+F9+G9+H9</f>
        <v>1580000</v>
      </c>
      <c r="J9" s="6"/>
      <c r="K9" s="6"/>
      <c r="L9" s="6"/>
      <c r="M9" s="6"/>
      <c r="N9" s="7" t="str">
        <f aca="false">IF(COUNTA(J9:M9)&gt;0,SUM(J9:M9),"")</f>
        <v/>
      </c>
    </row>
    <row r="10" customFormat="false" ht="18" hidden="false" customHeight="true" outlineLevel="0" collapsed="false">
      <c r="A10" s="2" t="s">
        <v>26</v>
      </c>
      <c r="B10" s="3" t="s">
        <v>20</v>
      </c>
      <c r="C10" s="4" t="n">
        <v>300</v>
      </c>
      <c r="D10" s="4" t="n">
        <v>1800</v>
      </c>
      <c r="E10" s="4" t="n">
        <v>100000</v>
      </c>
      <c r="F10" s="4" t="n">
        <v>200000</v>
      </c>
      <c r="G10" s="4" t="n">
        <v>60000</v>
      </c>
      <c r="H10" s="4" t="n">
        <v>80000</v>
      </c>
      <c r="I10" s="5" t="n">
        <f aca="false">E10+F10+G10+H10</f>
        <v>440000</v>
      </c>
      <c r="J10" s="6"/>
      <c r="K10" s="6"/>
      <c r="L10" s="6"/>
      <c r="M10" s="6"/>
      <c r="N10" s="7" t="str">
        <f aca="false">IF(COUNTA(J10:M10)&gt;0,SUM(J10:M10),"")</f>
        <v/>
      </c>
    </row>
    <row r="11" customFormat="false" ht="21.75" hidden="false" customHeight="true" outlineLevel="0" collapsed="false">
      <c r="A11" s="11" t="s">
        <v>27</v>
      </c>
      <c r="B11" s="11"/>
      <c r="C11" s="11"/>
      <c r="D11" s="11"/>
      <c r="E11" s="12" t="n">
        <f aca="false">SUM(E2:E10)</f>
        <v>4546000</v>
      </c>
      <c r="F11" s="12" t="n">
        <f aca="false">SUM(F2:F10)</f>
        <v>4885000</v>
      </c>
      <c r="G11" s="12" t="n">
        <f aca="false">SUM(G2:G10)</f>
        <v>600000</v>
      </c>
      <c r="H11" s="12" t="n">
        <f aca="false">SUM(H2:H10)</f>
        <v>1413000</v>
      </c>
      <c r="I11" s="12" t="n">
        <f aca="false">SUM(I2:I10)</f>
        <v>11444000</v>
      </c>
      <c r="J11" s="12" t="n">
        <f aca="false">SUM(J2:J10)</f>
        <v>0</v>
      </c>
      <c r="K11" s="12" t="n">
        <f aca="false">SUM(K2:K10)</f>
        <v>0</v>
      </c>
      <c r="L11" s="12" t="n">
        <f aca="false">SUM(L2:L10)</f>
        <v>0</v>
      </c>
      <c r="M11" s="12" t="n">
        <f aca="false">SUM(M2:M10)</f>
        <v>0</v>
      </c>
      <c r="N11" s="12" t="n">
        <f aca="false">SUM(N2:N10)</f>
        <v>0</v>
      </c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5"/>
  </cols>
  <sheetData>
    <row r="1" customFormat="false" ht="42" hidden="false" customHeight="true" outlineLevel="0" collapsed="false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customFormat="false" ht="18" hidden="false" customHeight="true" outlineLevel="0" collapsed="false">
      <c r="A2" s="2" t="s">
        <v>14</v>
      </c>
      <c r="B2" s="2" t="s">
        <v>38</v>
      </c>
      <c r="C2" s="2" t="s">
        <v>39</v>
      </c>
      <c r="D2" s="3" t="s">
        <v>40</v>
      </c>
      <c r="E2" s="3" t="s">
        <v>41</v>
      </c>
      <c r="F2" s="13" t="n">
        <v>1</v>
      </c>
      <c r="G2" s="4" t="n">
        <v>50000</v>
      </c>
      <c r="H2" s="14"/>
      <c r="I2" s="14"/>
      <c r="J2" s="15"/>
      <c r="K2" s="6"/>
    </row>
    <row r="3" customFormat="false" ht="18" hidden="false" customHeight="true" outlineLevel="0" collapsed="false">
      <c r="A3" s="8" t="s">
        <v>14</v>
      </c>
      <c r="B3" s="8" t="s">
        <v>42</v>
      </c>
      <c r="C3" s="8" t="s">
        <v>39</v>
      </c>
      <c r="D3" s="9" t="s">
        <v>40</v>
      </c>
      <c r="E3" s="9" t="s">
        <v>43</v>
      </c>
      <c r="F3" s="16" t="n">
        <v>1</v>
      </c>
      <c r="G3" s="10" t="n">
        <v>40000</v>
      </c>
      <c r="H3" s="14"/>
      <c r="I3" s="14"/>
      <c r="J3" s="15"/>
      <c r="K3" s="6"/>
    </row>
    <row r="4" customFormat="false" ht="18" hidden="false" customHeight="true" outlineLevel="0" collapsed="false">
      <c r="A4" s="2" t="s">
        <v>14</v>
      </c>
      <c r="B4" s="2" t="s">
        <v>44</v>
      </c>
      <c r="C4" s="2" t="s">
        <v>39</v>
      </c>
      <c r="D4" s="3" t="s">
        <v>45</v>
      </c>
      <c r="E4" s="3" t="s">
        <v>46</v>
      </c>
      <c r="F4" s="13" t="n">
        <v>1</v>
      </c>
      <c r="G4" s="4" t="n">
        <v>60000</v>
      </c>
      <c r="H4" s="14"/>
      <c r="I4" s="14"/>
      <c r="J4" s="15"/>
      <c r="K4" s="6"/>
    </row>
    <row r="5" customFormat="false" ht="18" hidden="false" customHeight="true" outlineLevel="0" collapsed="false">
      <c r="A5" s="8" t="s">
        <v>16</v>
      </c>
      <c r="B5" s="8" t="s">
        <v>47</v>
      </c>
      <c r="C5" s="8" t="s">
        <v>39</v>
      </c>
      <c r="D5" s="9" t="s">
        <v>48</v>
      </c>
      <c r="E5" s="9" t="s">
        <v>49</v>
      </c>
      <c r="F5" s="16" t="n">
        <v>1</v>
      </c>
      <c r="G5" s="10" t="n">
        <v>300000</v>
      </c>
      <c r="H5" s="14"/>
      <c r="I5" s="14"/>
      <c r="J5" s="15"/>
      <c r="K5" s="6"/>
    </row>
    <row r="6" customFormat="false" ht="18" hidden="false" customHeight="true" outlineLevel="0" collapsed="false">
      <c r="A6" s="2" t="s">
        <v>16</v>
      </c>
      <c r="B6" s="2" t="s">
        <v>50</v>
      </c>
      <c r="C6" s="2" t="s">
        <v>39</v>
      </c>
      <c r="D6" s="3" t="s">
        <v>51</v>
      </c>
      <c r="E6" s="3" t="s">
        <v>52</v>
      </c>
      <c r="F6" s="13" t="n">
        <v>1</v>
      </c>
      <c r="G6" s="4" t="n">
        <v>180000</v>
      </c>
      <c r="H6" s="14"/>
      <c r="I6" s="14"/>
      <c r="J6" s="15"/>
      <c r="K6" s="6"/>
    </row>
    <row r="7" customFormat="false" ht="18" hidden="false" customHeight="true" outlineLevel="0" collapsed="false">
      <c r="A7" s="8" t="s">
        <v>18</v>
      </c>
      <c r="B7" s="8" t="s">
        <v>53</v>
      </c>
      <c r="C7" s="8" t="s">
        <v>39</v>
      </c>
      <c r="D7" s="9" t="s">
        <v>54</v>
      </c>
      <c r="E7" s="9" t="s">
        <v>55</v>
      </c>
      <c r="F7" s="16" t="n">
        <v>1</v>
      </c>
      <c r="G7" s="10" t="n">
        <v>400000</v>
      </c>
      <c r="H7" s="14"/>
      <c r="I7" s="14"/>
      <c r="J7" s="15"/>
      <c r="K7" s="6"/>
    </row>
    <row r="8" customFormat="false" ht="18" hidden="false" customHeight="true" outlineLevel="0" collapsed="false">
      <c r="A8" s="2" t="s">
        <v>18</v>
      </c>
      <c r="B8" s="2" t="s">
        <v>56</v>
      </c>
      <c r="C8" s="2" t="s">
        <v>39</v>
      </c>
      <c r="D8" s="3" t="s">
        <v>57</v>
      </c>
      <c r="E8" s="3" t="s">
        <v>58</v>
      </c>
      <c r="F8" s="13" t="n">
        <v>0.65</v>
      </c>
      <c r="G8" s="4" t="n">
        <v>1200000</v>
      </c>
      <c r="H8" s="14"/>
      <c r="I8" s="14"/>
      <c r="J8" s="15"/>
      <c r="K8" s="6"/>
    </row>
    <row r="9" customFormat="false" ht="18" hidden="false" customHeight="true" outlineLevel="0" collapsed="false">
      <c r="A9" s="8" t="s">
        <v>18</v>
      </c>
      <c r="B9" s="8" t="s">
        <v>59</v>
      </c>
      <c r="C9" s="8" t="s">
        <v>39</v>
      </c>
      <c r="D9" s="9" t="s">
        <v>60</v>
      </c>
      <c r="E9" s="9" t="s">
        <v>61</v>
      </c>
      <c r="F9" s="16" t="n">
        <v>0</v>
      </c>
      <c r="G9" s="10" t="n">
        <v>500000</v>
      </c>
      <c r="H9" s="14"/>
      <c r="I9" s="14"/>
      <c r="J9" s="15"/>
      <c r="K9" s="6"/>
    </row>
    <row r="10" customFormat="false" ht="18" hidden="false" customHeight="true" outlineLevel="0" collapsed="false">
      <c r="A10" s="2" t="s">
        <v>19</v>
      </c>
      <c r="B10" s="2" t="s">
        <v>62</v>
      </c>
      <c r="C10" s="2" t="s">
        <v>39</v>
      </c>
      <c r="D10" s="3" t="s">
        <v>63</v>
      </c>
      <c r="E10" s="3" t="s">
        <v>64</v>
      </c>
      <c r="F10" s="13" t="n">
        <v>0</v>
      </c>
      <c r="G10" s="4" t="n">
        <v>900000</v>
      </c>
      <c r="H10" s="14"/>
      <c r="I10" s="14"/>
      <c r="J10" s="15"/>
      <c r="K10" s="6"/>
    </row>
    <row r="11" customFormat="false" ht="18" hidden="false" customHeight="true" outlineLevel="0" collapsed="false">
      <c r="A11" s="8" t="s">
        <v>19</v>
      </c>
      <c r="B11" s="8" t="s">
        <v>65</v>
      </c>
      <c r="C11" s="8" t="s">
        <v>39</v>
      </c>
      <c r="D11" s="9" t="s">
        <v>66</v>
      </c>
      <c r="E11" s="9" t="s">
        <v>67</v>
      </c>
      <c r="F11" s="16" t="n">
        <v>0</v>
      </c>
      <c r="G11" s="10" t="n">
        <v>900000</v>
      </c>
      <c r="H11" s="14"/>
      <c r="I11" s="14"/>
      <c r="J11" s="15"/>
      <c r="K11" s="6"/>
    </row>
    <row r="12" customFormat="false" ht="18" hidden="false" customHeight="true" outlineLevel="0" collapsed="false">
      <c r="A12" s="2" t="s">
        <v>19</v>
      </c>
      <c r="B12" s="2" t="s">
        <v>68</v>
      </c>
      <c r="C12" s="2" t="s">
        <v>39</v>
      </c>
      <c r="D12" s="3" t="s">
        <v>69</v>
      </c>
      <c r="E12" s="3" t="s">
        <v>70</v>
      </c>
      <c r="F12" s="13" t="n">
        <v>0</v>
      </c>
      <c r="G12" s="4" t="n">
        <v>840000</v>
      </c>
      <c r="H12" s="14"/>
      <c r="I12" s="14"/>
      <c r="J12" s="15"/>
      <c r="K12" s="6"/>
    </row>
    <row r="13" customFormat="false" ht="18" hidden="false" customHeight="true" outlineLevel="0" collapsed="false">
      <c r="A13" s="8" t="s">
        <v>21</v>
      </c>
      <c r="B13" s="8" t="s">
        <v>71</v>
      </c>
      <c r="C13" s="8" t="s">
        <v>39</v>
      </c>
      <c r="D13" s="9" t="s">
        <v>72</v>
      </c>
      <c r="E13" s="9" t="s">
        <v>73</v>
      </c>
      <c r="F13" s="16" t="n">
        <v>0</v>
      </c>
      <c r="G13" s="10" t="n">
        <v>280000</v>
      </c>
      <c r="H13" s="14"/>
      <c r="I13" s="14"/>
      <c r="J13" s="15"/>
      <c r="K13" s="6"/>
    </row>
    <row r="14" customFormat="false" ht="18" hidden="false" customHeight="true" outlineLevel="0" collapsed="false">
      <c r="A14" s="2" t="s">
        <v>21</v>
      </c>
      <c r="B14" s="2" t="s">
        <v>74</v>
      </c>
      <c r="C14" s="2" t="s">
        <v>39</v>
      </c>
      <c r="D14" s="3" t="s">
        <v>75</v>
      </c>
      <c r="E14" s="3" t="s">
        <v>76</v>
      </c>
      <c r="F14" s="13" t="n">
        <v>0</v>
      </c>
      <c r="G14" s="4" t="n">
        <v>350000</v>
      </c>
      <c r="H14" s="14"/>
      <c r="I14" s="14"/>
      <c r="J14" s="15"/>
      <c r="K14" s="6"/>
    </row>
    <row r="15" customFormat="false" ht="18" hidden="false" customHeight="true" outlineLevel="0" collapsed="false">
      <c r="A15" s="8" t="s">
        <v>22</v>
      </c>
      <c r="B15" s="8" t="s">
        <v>77</v>
      </c>
      <c r="C15" s="8" t="s">
        <v>39</v>
      </c>
      <c r="D15" s="9" t="s">
        <v>78</v>
      </c>
      <c r="E15" s="9" t="s">
        <v>79</v>
      </c>
      <c r="F15" s="16" t="n">
        <v>0</v>
      </c>
      <c r="G15" s="10" t="n">
        <v>500000</v>
      </c>
      <c r="H15" s="14"/>
      <c r="I15" s="14"/>
      <c r="J15" s="15"/>
      <c r="K15" s="6"/>
    </row>
    <row r="16" customFormat="false" ht="18" hidden="false" customHeight="true" outlineLevel="0" collapsed="false">
      <c r="A16" s="2" t="s">
        <v>22</v>
      </c>
      <c r="B16" s="2" t="s">
        <v>80</v>
      </c>
      <c r="C16" s="2" t="s">
        <v>39</v>
      </c>
      <c r="D16" s="3" t="s">
        <v>81</v>
      </c>
      <c r="E16" s="3" t="s">
        <v>82</v>
      </c>
      <c r="F16" s="13" t="n">
        <v>0</v>
      </c>
      <c r="G16" s="4" t="n">
        <v>350000</v>
      </c>
      <c r="H16" s="14"/>
      <c r="I16" s="14"/>
      <c r="J16" s="15"/>
      <c r="K16" s="6"/>
    </row>
    <row r="17" customFormat="false" ht="18" hidden="false" customHeight="true" outlineLevel="0" collapsed="false">
      <c r="A17" s="8" t="s">
        <v>23</v>
      </c>
      <c r="B17" s="8" t="s">
        <v>83</v>
      </c>
      <c r="C17" s="8" t="s">
        <v>39</v>
      </c>
      <c r="D17" s="9" t="s">
        <v>84</v>
      </c>
      <c r="E17" s="9" t="s">
        <v>85</v>
      </c>
      <c r="F17" s="16" t="n">
        <v>0</v>
      </c>
      <c r="G17" s="10" t="n">
        <v>600000</v>
      </c>
      <c r="H17" s="14"/>
      <c r="I17" s="14"/>
      <c r="J17" s="15"/>
      <c r="K17" s="6"/>
    </row>
    <row r="18" customFormat="false" ht="18" hidden="false" customHeight="true" outlineLevel="0" collapsed="false">
      <c r="A18" s="2" t="s">
        <v>23</v>
      </c>
      <c r="B18" s="2" t="s">
        <v>86</v>
      </c>
      <c r="C18" s="2" t="s">
        <v>39</v>
      </c>
      <c r="D18" s="3" t="s">
        <v>87</v>
      </c>
      <c r="E18" s="3" t="s">
        <v>88</v>
      </c>
      <c r="F18" s="13" t="n">
        <v>0</v>
      </c>
      <c r="G18" s="4" t="n">
        <v>1256000</v>
      </c>
      <c r="H18" s="14"/>
      <c r="I18" s="14"/>
      <c r="J18" s="15"/>
      <c r="K18" s="6"/>
    </row>
    <row r="19" customFormat="false" ht="18" hidden="false" customHeight="true" outlineLevel="0" collapsed="false">
      <c r="A19" s="8" t="s">
        <v>24</v>
      </c>
      <c r="B19" s="8" t="s">
        <v>89</v>
      </c>
      <c r="C19" s="8" t="s">
        <v>39</v>
      </c>
      <c r="D19" s="9" t="s">
        <v>90</v>
      </c>
      <c r="E19" s="9" t="s">
        <v>91</v>
      </c>
      <c r="F19" s="16" t="n">
        <v>0</v>
      </c>
      <c r="G19" s="10" t="n">
        <v>620000</v>
      </c>
      <c r="H19" s="14"/>
      <c r="I19" s="14"/>
      <c r="J19" s="15"/>
      <c r="K19" s="6"/>
    </row>
    <row r="20" customFormat="false" ht="18" hidden="false" customHeight="true" outlineLevel="0" collapsed="false">
      <c r="A20" s="2" t="s">
        <v>24</v>
      </c>
      <c r="B20" s="2" t="s">
        <v>92</v>
      </c>
      <c r="C20" s="2" t="s">
        <v>39</v>
      </c>
      <c r="D20" s="3" t="s">
        <v>93</v>
      </c>
      <c r="E20" s="3" t="s">
        <v>87</v>
      </c>
      <c r="F20" s="13" t="n">
        <v>0</v>
      </c>
      <c r="G20" s="4" t="n">
        <v>480000</v>
      </c>
      <c r="H20" s="14"/>
      <c r="I20" s="14"/>
      <c r="J20" s="15"/>
      <c r="K20" s="6"/>
    </row>
    <row r="21" customFormat="false" ht="18" hidden="false" customHeight="true" outlineLevel="0" collapsed="false">
      <c r="A21" s="8" t="s">
        <v>24</v>
      </c>
      <c r="B21" s="8" t="s">
        <v>94</v>
      </c>
      <c r="C21" s="8" t="s">
        <v>39</v>
      </c>
      <c r="D21" s="9" t="s">
        <v>84</v>
      </c>
      <c r="E21" s="9" t="s">
        <v>85</v>
      </c>
      <c r="F21" s="16" t="n">
        <v>0</v>
      </c>
      <c r="G21" s="10" t="n">
        <v>480000</v>
      </c>
      <c r="H21" s="14"/>
      <c r="I21" s="14"/>
      <c r="J21" s="15"/>
      <c r="K21" s="6"/>
    </row>
    <row r="22" customFormat="false" ht="18" hidden="false" customHeight="true" outlineLevel="0" collapsed="false">
      <c r="A22" s="2" t="s">
        <v>26</v>
      </c>
      <c r="B22" s="2" t="s">
        <v>95</v>
      </c>
      <c r="C22" s="2" t="s">
        <v>39</v>
      </c>
      <c r="D22" s="3" t="s">
        <v>87</v>
      </c>
      <c r="E22" s="3" t="s">
        <v>96</v>
      </c>
      <c r="F22" s="13" t="n">
        <v>0</v>
      </c>
      <c r="G22" s="4" t="n">
        <v>170000</v>
      </c>
      <c r="H22" s="14"/>
      <c r="I22" s="14"/>
      <c r="J22" s="15"/>
      <c r="K22" s="6"/>
    </row>
    <row r="23" customFormat="false" ht="18" hidden="false" customHeight="true" outlineLevel="0" collapsed="false">
      <c r="A23" s="8" t="s">
        <v>26</v>
      </c>
      <c r="B23" s="8" t="s">
        <v>97</v>
      </c>
      <c r="C23" s="8" t="s">
        <v>39</v>
      </c>
      <c r="D23" s="9" t="s">
        <v>85</v>
      </c>
      <c r="E23" s="9" t="s">
        <v>88</v>
      </c>
      <c r="F23" s="16" t="n">
        <v>0</v>
      </c>
      <c r="G23" s="10" t="n">
        <v>370000</v>
      </c>
      <c r="H23" s="14"/>
      <c r="I23" s="14"/>
      <c r="J23" s="15"/>
      <c r="K23" s="6"/>
    </row>
    <row r="24" customFormat="false" ht="21.75" hidden="false" customHeight="true" outlineLevel="0" collapsed="false">
      <c r="A24" s="11" t="s">
        <v>27</v>
      </c>
      <c r="B24" s="11"/>
      <c r="C24" s="11"/>
      <c r="D24" s="11"/>
      <c r="E24" s="11"/>
      <c r="F24" s="11"/>
      <c r="G24" s="12" t="n">
        <f aca="false">SUM(G2:G23)</f>
        <v>10826000</v>
      </c>
      <c r="K24" s="12" t="n">
        <f aca="false">SUM(K2:K23)</f>
        <v>0</v>
      </c>
    </row>
  </sheetData>
  <mergeCells count="1"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2" min="11" style="0" width="15"/>
    <col collapsed="false" customWidth="true" hidden="false" outlineLevel="0" max="13" min="13" style="0" width="13"/>
  </cols>
  <sheetData>
    <row r="1" customFormat="false" ht="42" hidden="false" customHeight="true" outlineLevel="0" collapsed="false">
      <c r="A1" s="1" t="s">
        <v>0</v>
      </c>
      <c r="B1" s="1" t="s">
        <v>28</v>
      </c>
      <c r="C1" s="1" t="s">
        <v>98</v>
      </c>
      <c r="D1" s="1" t="s">
        <v>1</v>
      </c>
      <c r="E1" s="1" t="s">
        <v>3</v>
      </c>
      <c r="F1" s="1" t="s">
        <v>2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</row>
    <row r="2" customFormat="false" ht="18" hidden="false" customHeight="true" outlineLevel="0" collapsed="false">
      <c r="A2" s="2" t="s">
        <v>18</v>
      </c>
      <c r="B2" s="2" t="s">
        <v>53</v>
      </c>
      <c r="C2" s="2" t="s">
        <v>106</v>
      </c>
      <c r="D2" s="3" t="s">
        <v>17</v>
      </c>
      <c r="E2" s="4" t="n">
        <v>900</v>
      </c>
      <c r="F2" s="4" t="n">
        <v>80</v>
      </c>
      <c r="G2" s="17" t="n">
        <f aca="false">E2*F2</f>
        <v>72000</v>
      </c>
      <c r="H2" s="6"/>
      <c r="I2" s="6"/>
      <c r="J2" s="6"/>
      <c r="K2" s="6" t="str">
        <f aca="false">IF(AND(I2&lt;&gt;"",J2&lt;&gt;""),I2-J2,"")</f>
        <v/>
      </c>
      <c r="L2" s="6" t="str">
        <f aca="false">IF(I2&lt;&gt;"",IF(H2&lt;&gt;"",H2*I2,E2*I2),"")</f>
        <v/>
      </c>
      <c r="M2" s="13" t="n">
        <v>0.2</v>
      </c>
    </row>
    <row r="3" customFormat="false" ht="18" hidden="false" customHeight="true" outlineLevel="0" collapsed="false">
      <c r="A3" s="8" t="s">
        <v>18</v>
      </c>
      <c r="B3" s="8" t="s">
        <v>53</v>
      </c>
      <c r="C3" s="8" t="s">
        <v>107</v>
      </c>
      <c r="D3" s="9" t="s">
        <v>17</v>
      </c>
      <c r="E3" s="10" t="n">
        <v>1400</v>
      </c>
      <c r="F3" s="10" t="n">
        <v>60</v>
      </c>
      <c r="G3" s="17" t="n">
        <f aca="false">E3*F3</f>
        <v>84000</v>
      </c>
      <c r="H3" s="6"/>
      <c r="I3" s="6"/>
      <c r="J3" s="6"/>
      <c r="K3" s="6" t="str">
        <f aca="false">IF(AND(I3&lt;&gt;"",J3&lt;&gt;""),I3-J3,"")</f>
        <v/>
      </c>
      <c r="L3" s="6" t="str">
        <f aca="false">IF(I3&lt;&gt;"",IF(H3&lt;&gt;"",H3*I3,E3*I3),"")</f>
        <v/>
      </c>
      <c r="M3" s="16" t="n">
        <v>0.2</v>
      </c>
    </row>
    <row r="4" customFormat="false" ht="18" hidden="false" customHeight="true" outlineLevel="0" collapsed="false">
      <c r="A4" s="2" t="s">
        <v>18</v>
      </c>
      <c r="B4" s="2" t="s">
        <v>56</v>
      </c>
      <c r="C4" s="2" t="s">
        <v>108</v>
      </c>
      <c r="D4" s="3" t="s">
        <v>17</v>
      </c>
      <c r="E4" s="4" t="n">
        <v>8500</v>
      </c>
      <c r="F4" s="4" t="n">
        <v>120</v>
      </c>
      <c r="G4" s="17" t="n">
        <f aca="false">E4*F4</f>
        <v>1020000</v>
      </c>
      <c r="H4" s="6"/>
      <c r="I4" s="6"/>
      <c r="J4" s="6"/>
      <c r="K4" s="6" t="str">
        <f aca="false">IF(AND(I4&lt;&gt;"",J4&lt;&gt;""),I4-J4,"")</f>
        <v/>
      </c>
      <c r="L4" s="6" t="str">
        <f aca="false">IF(I4&lt;&gt;"",IF(H4&lt;&gt;"",H4*I4,E4*I4),"")</f>
        <v/>
      </c>
      <c r="M4" s="13" t="n">
        <v>0.2</v>
      </c>
    </row>
    <row r="5" customFormat="false" ht="18" hidden="false" customHeight="true" outlineLevel="0" collapsed="false">
      <c r="A5" s="8" t="s">
        <v>18</v>
      </c>
      <c r="B5" s="8" t="s">
        <v>56</v>
      </c>
      <c r="C5" s="8" t="s">
        <v>109</v>
      </c>
      <c r="D5" s="9" t="s">
        <v>110</v>
      </c>
      <c r="E5" s="10" t="n">
        <v>70000</v>
      </c>
      <c r="F5" s="10" t="n">
        <v>80</v>
      </c>
      <c r="G5" s="17" t="n">
        <f aca="false">E5*F5</f>
        <v>5600000</v>
      </c>
      <c r="H5" s="6"/>
      <c r="I5" s="6"/>
      <c r="J5" s="6"/>
      <c r="K5" s="6" t="str">
        <f aca="false">IF(AND(I5&lt;&gt;"",J5&lt;&gt;""),I5-J5,"")</f>
        <v/>
      </c>
      <c r="L5" s="6" t="str">
        <f aca="false">IF(I5&lt;&gt;"",IF(H5&lt;&gt;"",H5*I5,E5*I5),"")</f>
        <v/>
      </c>
      <c r="M5" s="16" t="n">
        <v>0.2</v>
      </c>
    </row>
    <row r="6" customFormat="false" ht="18" hidden="false" customHeight="true" outlineLevel="0" collapsed="false">
      <c r="A6" s="2" t="s">
        <v>18</v>
      </c>
      <c r="B6" s="2" t="s">
        <v>56</v>
      </c>
      <c r="C6" s="2" t="s">
        <v>111</v>
      </c>
      <c r="D6" s="3" t="s">
        <v>20</v>
      </c>
      <c r="E6" s="4" t="n">
        <v>350</v>
      </c>
      <c r="F6" s="4" t="n">
        <v>200</v>
      </c>
      <c r="G6" s="17" t="n">
        <f aca="false">E6*F6</f>
        <v>70000</v>
      </c>
      <c r="H6" s="6"/>
      <c r="I6" s="6"/>
      <c r="J6" s="6"/>
      <c r="K6" s="6" t="str">
        <f aca="false">IF(AND(I6&lt;&gt;"",J6&lt;&gt;""),I6-J6,"")</f>
        <v/>
      </c>
      <c r="L6" s="6" t="str">
        <f aca="false">IF(I6&lt;&gt;"",IF(H6&lt;&gt;"",H6*I6,E6*I6),"")</f>
        <v/>
      </c>
      <c r="M6" s="13" t="n">
        <v>0.2</v>
      </c>
    </row>
    <row r="7" customFormat="false" ht="18" hidden="false" customHeight="true" outlineLevel="0" collapsed="false">
      <c r="A7" s="8" t="s">
        <v>18</v>
      </c>
      <c r="B7" s="8" t="s">
        <v>59</v>
      </c>
      <c r="C7" s="8" t="s">
        <v>112</v>
      </c>
      <c r="D7" s="9" t="s">
        <v>20</v>
      </c>
      <c r="E7" s="10" t="n">
        <v>280</v>
      </c>
      <c r="F7" s="10" t="n">
        <v>400</v>
      </c>
      <c r="G7" s="17" t="n">
        <f aca="false">E7*F7</f>
        <v>112000</v>
      </c>
      <c r="H7" s="6"/>
      <c r="I7" s="6"/>
      <c r="J7" s="6"/>
      <c r="K7" s="6" t="str">
        <f aca="false">IF(AND(I7&lt;&gt;"",J7&lt;&gt;""),I7-J7,"")</f>
        <v/>
      </c>
      <c r="L7" s="6" t="str">
        <f aca="false">IF(I7&lt;&gt;"",IF(H7&lt;&gt;"",H7*I7,E7*I7),"")</f>
        <v/>
      </c>
      <c r="M7" s="16" t="n">
        <v>0.2</v>
      </c>
    </row>
    <row r="8" customFormat="false" ht="18" hidden="false" customHeight="true" outlineLevel="0" collapsed="false">
      <c r="A8" s="2" t="s">
        <v>19</v>
      </c>
      <c r="B8" s="2" t="s">
        <v>62</v>
      </c>
      <c r="C8" s="2" t="s">
        <v>113</v>
      </c>
      <c r="D8" s="3" t="s">
        <v>114</v>
      </c>
      <c r="E8" s="4" t="n">
        <v>18000</v>
      </c>
      <c r="F8" s="4" t="n">
        <v>28</v>
      </c>
      <c r="G8" s="17" t="n">
        <f aca="false">E8*F8</f>
        <v>504000</v>
      </c>
      <c r="H8" s="6"/>
      <c r="I8" s="6"/>
      <c r="J8" s="6"/>
      <c r="K8" s="6" t="str">
        <f aca="false">IF(AND(I8&lt;&gt;"",J8&lt;&gt;""),I8-J8,"")</f>
        <v/>
      </c>
      <c r="L8" s="6" t="str">
        <f aca="false">IF(I8&lt;&gt;"",IF(H8&lt;&gt;"",H8*I8,E8*I8),"")</f>
        <v/>
      </c>
      <c r="M8" s="13" t="n">
        <v>0.2</v>
      </c>
    </row>
    <row r="9" customFormat="false" ht="18" hidden="false" customHeight="true" outlineLevel="0" collapsed="false">
      <c r="A9" s="8" t="s">
        <v>19</v>
      </c>
      <c r="B9" s="8" t="s">
        <v>62</v>
      </c>
      <c r="C9" s="8" t="s">
        <v>115</v>
      </c>
      <c r="D9" s="9" t="s">
        <v>110</v>
      </c>
      <c r="E9" s="10" t="n">
        <v>5200</v>
      </c>
      <c r="F9" s="10" t="n">
        <v>40</v>
      </c>
      <c r="G9" s="17" t="n">
        <f aca="false">E9*F9</f>
        <v>208000</v>
      </c>
      <c r="H9" s="6"/>
      <c r="I9" s="6"/>
      <c r="J9" s="6"/>
      <c r="K9" s="6" t="str">
        <f aca="false">IF(AND(I9&lt;&gt;"",J9&lt;&gt;""),I9-J9,"")</f>
        <v/>
      </c>
      <c r="L9" s="6" t="str">
        <f aca="false">IF(I9&lt;&gt;"",IF(H9&lt;&gt;"",H9*I9,E9*I9),"")</f>
        <v/>
      </c>
      <c r="M9" s="16" t="n">
        <v>0.2</v>
      </c>
    </row>
    <row r="10" customFormat="false" ht="18" hidden="false" customHeight="true" outlineLevel="0" collapsed="false">
      <c r="A10" s="2" t="s">
        <v>19</v>
      </c>
      <c r="B10" s="2" t="s">
        <v>65</v>
      </c>
      <c r="C10" s="2" t="s">
        <v>113</v>
      </c>
      <c r="D10" s="3" t="s">
        <v>114</v>
      </c>
      <c r="E10" s="4" t="n">
        <v>18000</v>
      </c>
      <c r="F10" s="4" t="n">
        <v>22</v>
      </c>
      <c r="G10" s="17" t="n">
        <f aca="false">E10*F10</f>
        <v>396000</v>
      </c>
      <c r="H10" s="6"/>
      <c r="I10" s="6"/>
      <c r="J10" s="6"/>
      <c r="K10" s="6" t="str">
        <f aca="false">IF(AND(I10&lt;&gt;"",J10&lt;&gt;""),I10-J10,"")</f>
        <v/>
      </c>
      <c r="L10" s="6" t="str">
        <f aca="false">IF(I10&lt;&gt;"",IF(H10&lt;&gt;"",H10*I10,E10*I10),"")</f>
        <v/>
      </c>
      <c r="M10" s="13" t="n">
        <v>0.2</v>
      </c>
    </row>
    <row r="11" customFormat="false" ht="18" hidden="false" customHeight="true" outlineLevel="0" collapsed="false">
      <c r="A11" s="8" t="s">
        <v>19</v>
      </c>
      <c r="B11" s="8" t="s">
        <v>65</v>
      </c>
      <c r="C11" s="8" t="s">
        <v>115</v>
      </c>
      <c r="D11" s="9" t="s">
        <v>110</v>
      </c>
      <c r="E11" s="10" t="n">
        <v>5200</v>
      </c>
      <c r="F11" s="10" t="n">
        <v>30</v>
      </c>
      <c r="G11" s="17" t="n">
        <f aca="false">E11*F11</f>
        <v>156000</v>
      </c>
      <c r="H11" s="6"/>
      <c r="I11" s="6"/>
      <c r="J11" s="6"/>
      <c r="K11" s="6" t="str">
        <f aca="false">IF(AND(I11&lt;&gt;"",J11&lt;&gt;""),I11-J11,"")</f>
        <v/>
      </c>
      <c r="L11" s="6" t="str">
        <f aca="false">IF(I11&lt;&gt;"",IF(H11&lt;&gt;"",H11*I11,E11*I11),"")</f>
        <v/>
      </c>
      <c r="M11" s="16" t="n">
        <v>0.2</v>
      </c>
    </row>
    <row r="12" customFormat="false" ht="18" hidden="false" customHeight="true" outlineLevel="0" collapsed="false">
      <c r="A12" s="2" t="s">
        <v>19</v>
      </c>
      <c r="B12" s="2" t="s">
        <v>68</v>
      </c>
      <c r="C12" s="2" t="s">
        <v>116</v>
      </c>
      <c r="D12" s="3" t="s">
        <v>110</v>
      </c>
      <c r="E12" s="4" t="n">
        <v>40000</v>
      </c>
      <c r="F12" s="4" t="n">
        <v>12</v>
      </c>
      <c r="G12" s="17" t="n">
        <f aca="false">E12*F12</f>
        <v>480000</v>
      </c>
      <c r="H12" s="6"/>
      <c r="I12" s="6"/>
      <c r="J12" s="6"/>
      <c r="K12" s="6" t="str">
        <f aca="false">IF(AND(I12&lt;&gt;"",J12&lt;&gt;""),I12-J12,"")</f>
        <v/>
      </c>
      <c r="L12" s="6" t="str">
        <f aca="false">IF(I12&lt;&gt;"",IF(H12&lt;&gt;"",H12*I12,E12*I12),"")</f>
        <v/>
      </c>
      <c r="M12" s="13" t="n">
        <v>0.2</v>
      </c>
    </row>
    <row r="13" customFormat="false" ht="18" hidden="false" customHeight="true" outlineLevel="0" collapsed="false">
      <c r="A13" s="8" t="s">
        <v>21</v>
      </c>
      <c r="B13" s="8" t="s">
        <v>71</v>
      </c>
      <c r="C13" s="8" t="s">
        <v>117</v>
      </c>
      <c r="D13" s="9" t="s">
        <v>17</v>
      </c>
      <c r="E13" s="10" t="n">
        <v>6500</v>
      </c>
      <c r="F13" s="10" t="n">
        <v>30</v>
      </c>
      <c r="G13" s="17" t="n">
        <f aca="false">E13*F13</f>
        <v>195000</v>
      </c>
      <c r="H13" s="6"/>
      <c r="I13" s="6"/>
      <c r="J13" s="6"/>
      <c r="K13" s="6" t="str">
        <f aca="false">IF(AND(I13&lt;&gt;"",J13&lt;&gt;""),I13-J13,"")</f>
        <v/>
      </c>
      <c r="L13" s="6" t="str">
        <f aca="false">IF(I13&lt;&gt;"",IF(H13&lt;&gt;"",H13*I13,E13*I13),"")</f>
        <v/>
      </c>
      <c r="M13" s="16" t="n">
        <v>0.2</v>
      </c>
    </row>
    <row r="14" customFormat="false" ht="18" hidden="false" customHeight="true" outlineLevel="0" collapsed="false">
      <c r="A14" s="2" t="s">
        <v>21</v>
      </c>
      <c r="B14" s="2" t="s">
        <v>74</v>
      </c>
      <c r="C14" s="2" t="s">
        <v>118</v>
      </c>
      <c r="D14" s="3" t="s">
        <v>20</v>
      </c>
      <c r="E14" s="4" t="n">
        <v>1200</v>
      </c>
      <c r="F14" s="4" t="n">
        <v>180</v>
      </c>
      <c r="G14" s="17" t="n">
        <f aca="false">E14*F14</f>
        <v>216000</v>
      </c>
      <c r="H14" s="6"/>
      <c r="I14" s="6"/>
      <c r="J14" s="6"/>
      <c r="K14" s="6" t="str">
        <f aca="false">IF(AND(I14&lt;&gt;"",J14&lt;&gt;""),I14-J14,"")</f>
        <v/>
      </c>
      <c r="L14" s="6" t="str">
        <f aca="false">IF(I14&lt;&gt;"",IF(H14&lt;&gt;"",H14*I14,E14*I14),"")</f>
        <v/>
      </c>
      <c r="M14" s="13" t="n">
        <v>0.2</v>
      </c>
    </row>
    <row r="15" customFormat="false" ht="18" hidden="false" customHeight="true" outlineLevel="0" collapsed="false">
      <c r="A15" s="8" t="s">
        <v>22</v>
      </c>
      <c r="B15" s="8" t="s">
        <v>77</v>
      </c>
      <c r="C15" s="8" t="s">
        <v>119</v>
      </c>
      <c r="D15" s="9" t="s">
        <v>20</v>
      </c>
      <c r="E15" s="10" t="n">
        <v>380</v>
      </c>
      <c r="F15" s="10" t="n">
        <v>600</v>
      </c>
      <c r="G15" s="17" t="n">
        <f aca="false">E15*F15</f>
        <v>228000</v>
      </c>
      <c r="H15" s="6"/>
      <c r="I15" s="6"/>
      <c r="J15" s="6"/>
      <c r="K15" s="6" t="str">
        <f aca="false">IF(AND(I15&lt;&gt;"",J15&lt;&gt;""),I15-J15,"")</f>
        <v/>
      </c>
      <c r="L15" s="6" t="str">
        <f aca="false">IF(I15&lt;&gt;"",IF(H15&lt;&gt;"",H15*I15,E15*I15),"")</f>
        <v/>
      </c>
      <c r="M15" s="16" t="n">
        <v>0.2</v>
      </c>
    </row>
    <row r="16" customFormat="false" ht="18" hidden="false" customHeight="true" outlineLevel="0" collapsed="false">
      <c r="A16" s="2" t="s">
        <v>23</v>
      </c>
      <c r="B16" s="2" t="s">
        <v>86</v>
      </c>
      <c r="C16" s="2" t="s">
        <v>120</v>
      </c>
      <c r="D16" s="3" t="s">
        <v>121</v>
      </c>
      <c r="E16" s="4" t="n">
        <v>80000</v>
      </c>
      <c r="F16" s="4" t="n">
        <v>1</v>
      </c>
      <c r="G16" s="17" t="n">
        <f aca="false">E16*F16</f>
        <v>80000</v>
      </c>
      <c r="H16" s="6"/>
      <c r="I16" s="6"/>
      <c r="J16" s="6"/>
      <c r="K16" s="6" t="str">
        <f aca="false">IF(AND(I16&lt;&gt;"",J16&lt;&gt;""),I16-J16,"")</f>
        <v/>
      </c>
      <c r="L16" s="6" t="str">
        <f aca="false">IF(I16&lt;&gt;"",IF(H16&lt;&gt;"",H16*I16,E16*I16),"")</f>
        <v/>
      </c>
      <c r="M16" s="13" t="n">
        <v>0.2</v>
      </c>
    </row>
    <row r="17" customFormat="false" ht="18" hidden="false" customHeight="true" outlineLevel="0" collapsed="false">
      <c r="A17" s="8" t="s">
        <v>16</v>
      </c>
      <c r="B17" s="8" t="s">
        <v>47</v>
      </c>
      <c r="C17" s="8" t="s">
        <v>122</v>
      </c>
      <c r="D17" s="9" t="s">
        <v>123</v>
      </c>
      <c r="E17" s="10" t="n">
        <v>60</v>
      </c>
      <c r="F17" s="10" t="n">
        <v>500</v>
      </c>
      <c r="G17" s="17" t="n">
        <f aca="false">E17*F17</f>
        <v>30000</v>
      </c>
      <c r="H17" s="6"/>
      <c r="I17" s="6"/>
      <c r="J17" s="6"/>
      <c r="K17" s="6" t="str">
        <f aca="false">IF(AND(I17&lt;&gt;"",J17&lt;&gt;""),I17-J17,"")</f>
        <v/>
      </c>
      <c r="L17" s="6" t="str">
        <f aca="false">IF(I17&lt;&gt;"",IF(H17&lt;&gt;"",H17*I17,E17*I17),"")</f>
        <v/>
      </c>
      <c r="M17" s="16" t="n">
        <v>0.2</v>
      </c>
    </row>
    <row r="18" customFormat="false" ht="21.75" hidden="false" customHeight="true" outlineLevel="0" collapsed="false">
      <c r="A18" s="11" t="s">
        <v>27</v>
      </c>
      <c r="B18" s="11"/>
      <c r="C18" s="11"/>
      <c r="D18" s="11"/>
      <c r="E18" s="11"/>
      <c r="F18" s="11"/>
      <c r="G18" s="12" t="n">
        <f aca="false">SUM(G2:G17)</f>
        <v>9451000</v>
      </c>
      <c r="L18" s="12" t="n">
        <f aca="false">SUM(L2:L17)</f>
        <v>0</v>
      </c>
    </row>
  </sheetData>
  <mergeCells count="1"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942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42" hidden="false" customHeight="true" outlineLevel="0" collapsed="false">
      <c r="A1" s="1" t="s">
        <v>0</v>
      </c>
      <c r="B1" s="1" t="s">
        <v>28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5</v>
      </c>
      <c r="H1" s="1" t="s">
        <v>128</v>
      </c>
      <c r="I1" s="1" t="s">
        <v>10</v>
      </c>
    </row>
    <row r="2" customFormat="false" ht="18" hidden="false" customHeight="true" outlineLevel="0" collapsed="false">
      <c r="A2" s="2" t="s">
        <v>14</v>
      </c>
      <c r="B2" s="2" t="s">
        <v>38</v>
      </c>
      <c r="C2" s="2" t="s">
        <v>129</v>
      </c>
      <c r="D2" s="4" t="n">
        <v>2</v>
      </c>
      <c r="E2" s="4" t="n">
        <v>140</v>
      </c>
      <c r="F2" s="4" t="n">
        <v>80</v>
      </c>
      <c r="G2" s="18" t="n">
        <f aca="false">D2*E2*F2</f>
        <v>22400</v>
      </c>
      <c r="H2" s="6"/>
      <c r="I2" s="6" t="str">
        <f aca="false">IF(H2&lt;&gt;"",D2*E2*H2,"")</f>
        <v/>
      </c>
    </row>
    <row r="3" customFormat="false" ht="18" hidden="false" customHeight="true" outlineLevel="0" collapsed="false">
      <c r="A3" s="8" t="s">
        <v>14</v>
      </c>
      <c r="B3" s="8" t="s">
        <v>42</v>
      </c>
      <c r="C3" s="8" t="s">
        <v>129</v>
      </c>
      <c r="D3" s="10" t="n">
        <v>2</v>
      </c>
      <c r="E3" s="10" t="n">
        <v>140</v>
      </c>
      <c r="F3" s="10" t="n">
        <v>64</v>
      </c>
      <c r="G3" s="18" t="n">
        <f aca="false">D3*E3*F3</f>
        <v>17920</v>
      </c>
      <c r="H3" s="6"/>
      <c r="I3" s="6" t="str">
        <f aca="false">IF(H3&lt;&gt;"",D3*E3*H3,"")</f>
        <v/>
      </c>
    </row>
    <row r="4" customFormat="false" ht="18" hidden="false" customHeight="true" outlineLevel="0" collapsed="false">
      <c r="A4" s="2" t="s">
        <v>14</v>
      </c>
      <c r="B4" s="2" t="s">
        <v>44</v>
      </c>
      <c r="C4" s="2" t="s">
        <v>129</v>
      </c>
      <c r="D4" s="4" t="n">
        <v>2</v>
      </c>
      <c r="E4" s="4" t="n">
        <v>140</v>
      </c>
      <c r="F4" s="4" t="n">
        <v>80</v>
      </c>
      <c r="G4" s="18" t="n">
        <f aca="false">D4*E4*F4</f>
        <v>22400</v>
      </c>
      <c r="H4" s="6"/>
      <c r="I4" s="6" t="str">
        <f aca="false">IF(H4&lt;&gt;"",D4*E4*H4,"")</f>
        <v/>
      </c>
    </row>
    <row r="5" customFormat="false" ht="18" hidden="false" customHeight="true" outlineLevel="0" collapsed="false">
      <c r="A5" s="8" t="s">
        <v>16</v>
      </c>
      <c r="B5" s="8" t="s">
        <v>47</v>
      </c>
      <c r="C5" s="8" t="s">
        <v>129</v>
      </c>
      <c r="D5" s="10" t="n">
        <v>3</v>
      </c>
      <c r="E5" s="10" t="n">
        <v>140</v>
      </c>
      <c r="F5" s="10" t="n">
        <v>120</v>
      </c>
      <c r="G5" s="18" t="n">
        <f aca="false">D5*E5*F5</f>
        <v>50400</v>
      </c>
      <c r="H5" s="6"/>
      <c r="I5" s="6" t="str">
        <f aca="false">IF(H5&lt;&gt;"",D5*E5*H5,"")</f>
        <v/>
      </c>
    </row>
    <row r="6" customFormat="false" ht="18" hidden="false" customHeight="true" outlineLevel="0" collapsed="false">
      <c r="A6" s="2" t="s">
        <v>16</v>
      </c>
      <c r="B6" s="2" t="s">
        <v>50</v>
      </c>
      <c r="C6" s="2" t="s">
        <v>129</v>
      </c>
      <c r="D6" s="4" t="n">
        <v>2</v>
      </c>
      <c r="E6" s="4" t="n">
        <v>140</v>
      </c>
      <c r="F6" s="4" t="n">
        <v>80</v>
      </c>
      <c r="G6" s="18" t="n">
        <f aca="false">D6*E6*F6</f>
        <v>22400</v>
      </c>
      <c r="H6" s="6"/>
      <c r="I6" s="6" t="str">
        <f aca="false">IF(H6&lt;&gt;"",D6*E6*H6,"")</f>
        <v/>
      </c>
    </row>
    <row r="7" customFormat="false" ht="18" hidden="false" customHeight="true" outlineLevel="0" collapsed="false">
      <c r="A7" s="8" t="s">
        <v>18</v>
      </c>
      <c r="B7" s="8" t="s">
        <v>53</v>
      </c>
      <c r="C7" s="8" t="s">
        <v>129</v>
      </c>
      <c r="D7" s="10" t="n">
        <v>3</v>
      </c>
      <c r="E7" s="10" t="n">
        <v>140</v>
      </c>
      <c r="F7" s="10" t="n">
        <v>160</v>
      </c>
      <c r="G7" s="18" t="n">
        <f aca="false">D7*E7*F7</f>
        <v>67200</v>
      </c>
      <c r="H7" s="6"/>
      <c r="I7" s="6" t="str">
        <f aca="false">IF(H7&lt;&gt;"",D7*E7*H7,"")</f>
        <v/>
      </c>
    </row>
    <row r="8" customFormat="false" ht="18" hidden="false" customHeight="true" outlineLevel="0" collapsed="false">
      <c r="A8" s="2" t="s">
        <v>18</v>
      </c>
      <c r="B8" s="2" t="s">
        <v>56</v>
      </c>
      <c r="C8" s="2" t="s">
        <v>130</v>
      </c>
      <c r="D8" s="4" t="n">
        <v>2</v>
      </c>
      <c r="E8" s="4" t="n">
        <v>200</v>
      </c>
      <c r="F8" s="4" t="n">
        <v>320</v>
      </c>
      <c r="G8" s="18" t="n">
        <f aca="false">D8*E8*F8</f>
        <v>128000</v>
      </c>
      <c r="H8" s="6"/>
      <c r="I8" s="6" t="str">
        <f aca="false">IF(H8&lt;&gt;"",D8*E8*H8,"")</f>
        <v/>
      </c>
    </row>
    <row r="9" customFormat="false" ht="18" hidden="false" customHeight="true" outlineLevel="0" collapsed="false">
      <c r="A9" s="8" t="s">
        <v>18</v>
      </c>
      <c r="B9" s="8" t="s">
        <v>56</v>
      </c>
      <c r="C9" s="8" t="s">
        <v>131</v>
      </c>
      <c r="D9" s="10" t="n">
        <v>3</v>
      </c>
      <c r="E9" s="10" t="n">
        <v>320</v>
      </c>
      <c r="F9" s="10" t="n">
        <v>240</v>
      </c>
      <c r="G9" s="18" t="n">
        <f aca="false">D9*E9*F9</f>
        <v>230400</v>
      </c>
      <c r="H9" s="6"/>
      <c r="I9" s="6" t="str">
        <f aca="false">IF(H9&lt;&gt;"",D9*E9*H9,"")</f>
        <v/>
      </c>
    </row>
    <row r="10" customFormat="false" ht="18" hidden="false" customHeight="true" outlineLevel="0" collapsed="false">
      <c r="A10" s="2" t="s">
        <v>18</v>
      </c>
      <c r="B10" s="2" t="s">
        <v>59</v>
      </c>
      <c r="C10" s="2" t="s">
        <v>129</v>
      </c>
      <c r="D10" s="4" t="n">
        <v>2</v>
      </c>
      <c r="E10" s="4" t="n">
        <v>140</v>
      </c>
      <c r="F10" s="4" t="n">
        <v>80</v>
      </c>
      <c r="G10" s="18" t="n">
        <f aca="false">D10*E10*F10</f>
        <v>22400</v>
      </c>
      <c r="H10" s="6"/>
      <c r="I10" s="6" t="str">
        <f aca="false">IF(H10&lt;&gt;"",D10*E10*H10,"")</f>
        <v/>
      </c>
    </row>
    <row r="11" customFormat="false" ht="18" hidden="false" customHeight="true" outlineLevel="0" collapsed="false">
      <c r="A11" s="8" t="s">
        <v>19</v>
      </c>
      <c r="B11" s="8" t="s">
        <v>62</v>
      </c>
      <c r="C11" s="8" t="s">
        <v>132</v>
      </c>
      <c r="D11" s="10" t="n">
        <v>4</v>
      </c>
      <c r="E11" s="10" t="n">
        <v>220</v>
      </c>
      <c r="F11" s="10" t="n">
        <v>480</v>
      </c>
      <c r="G11" s="18" t="n">
        <f aca="false">D11*E11*F11</f>
        <v>422400</v>
      </c>
      <c r="H11" s="6"/>
      <c r="I11" s="6" t="str">
        <f aca="false">IF(H11&lt;&gt;"",D11*E11*H11,"")</f>
        <v/>
      </c>
    </row>
    <row r="12" customFormat="false" ht="18" hidden="false" customHeight="true" outlineLevel="0" collapsed="false">
      <c r="A12" s="2" t="s">
        <v>19</v>
      </c>
      <c r="B12" s="2" t="s">
        <v>65</v>
      </c>
      <c r="C12" s="2" t="s">
        <v>132</v>
      </c>
      <c r="D12" s="4" t="n">
        <v>4</v>
      </c>
      <c r="E12" s="4" t="n">
        <v>220</v>
      </c>
      <c r="F12" s="4" t="n">
        <v>480</v>
      </c>
      <c r="G12" s="18" t="n">
        <f aca="false">D12*E12*F12</f>
        <v>422400</v>
      </c>
      <c r="H12" s="6"/>
      <c r="I12" s="6" t="str">
        <f aca="false">IF(H12&lt;&gt;"",D12*E12*H12,"")</f>
        <v/>
      </c>
    </row>
    <row r="13" customFormat="false" ht="18" hidden="false" customHeight="true" outlineLevel="0" collapsed="false">
      <c r="A13" s="8" t="s">
        <v>19</v>
      </c>
      <c r="B13" s="8" t="s">
        <v>68</v>
      </c>
      <c r="C13" s="8" t="s">
        <v>133</v>
      </c>
      <c r="D13" s="10" t="n">
        <v>1</v>
      </c>
      <c r="E13" s="10" t="n">
        <v>350</v>
      </c>
      <c r="F13" s="10" t="n">
        <v>160</v>
      </c>
      <c r="G13" s="18" t="n">
        <f aca="false">D13*E13*F13</f>
        <v>56000</v>
      </c>
      <c r="H13" s="6"/>
      <c r="I13" s="6" t="str">
        <f aca="false">IF(H13&lt;&gt;"",D13*E13*H13,"")</f>
        <v/>
      </c>
    </row>
    <row r="14" customFormat="false" ht="18" hidden="false" customHeight="true" outlineLevel="0" collapsed="false">
      <c r="A14" s="2" t="s">
        <v>21</v>
      </c>
      <c r="B14" s="2" t="s">
        <v>71</v>
      </c>
      <c r="C14" s="2" t="s">
        <v>129</v>
      </c>
      <c r="D14" s="4" t="n">
        <v>2</v>
      </c>
      <c r="E14" s="4" t="n">
        <v>140</v>
      </c>
      <c r="F14" s="4" t="n">
        <v>160</v>
      </c>
      <c r="G14" s="18" t="n">
        <f aca="false">D14*E14*F14</f>
        <v>44800</v>
      </c>
      <c r="H14" s="6"/>
      <c r="I14" s="6" t="str">
        <f aca="false">IF(H14&lt;&gt;"",D14*E14*H14,"")</f>
        <v/>
      </c>
    </row>
    <row r="15" customFormat="false" ht="18" hidden="false" customHeight="true" outlineLevel="0" collapsed="false">
      <c r="A15" s="8" t="s">
        <v>21</v>
      </c>
      <c r="B15" s="8" t="s">
        <v>74</v>
      </c>
      <c r="C15" s="8" t="s">
        <v>134</v>
      </c>
      <c r="D15" s="10" t="n">
        <v>2</v>
      </c>
      <c r="E15" s="10" t="n">
        <v>240</v>
      </c>
      <c r="F15" s="10" t="n">
        <v>160</v>
      </c>
      <c r="G15" s="18" t="n">
        <f aca="false">D15*E15*F15</f>
        <v>76800</v>
      </c>
      <c r="H15" s="6"/>
      <c r="I15" s="6" t="str">
        <f aca="false">IF(H15&lt;&gt;"",D15*E15*H15,"")</f>
        <v/>
      </c>
    </row>
    <row r="16" customFormat="false" ht="18" hidden="false" customHeight="true" outlineLevel="0" collapsed="false">
      <c r="A16" s="2" t="s">
        <v>23</v>
      </c>
      <c r="B16" s="2" t="s">
        <v>83</v>
      </c>
      <c r="C16" s="2" t="s">
        <v>129</v>
      </c>
      <c r="D16" s="4" t="n">
        <v>3</v>
      </c>
      <c r="E16" s="4" t="n">
        <v>140</v>
      </c>
      <c r="F16" s="4" t="n">
        <v>320</v>
      </c>
      <c r="G16" s="18" t="n">
        <f aca="false">D16*E16*F16</f>
        <v>134400</v>
      </c>
      <c r="H16" s="6"/>
      <c r="I16" s="6" t="str">
        <f aca="false">IF(H16&lt;&gt;"",D16*E16*H16,"")</f>
        <v/>
      </c>
    </row>
    <row r="17" customFormat="false" ht="18" hidden="false" customHeight="true" outlineLevel="0" collapsed="false">
      <c r="A17" s="8" t="s">
        <v>23</v>
      </c>
      <c r="B17" s="8" t="s">
        <v>86</v>
      </c>
      <c r="C17" s="8" t="s">
        <v>129</v>
      </c>
      <c r="D17" s="10" t="n">
        <v>3</v>
      </c>
      <c r="E17" s="10" t="n">
        <v>140</v>
      </c>
      <c r="F17" s="10" t="n">
        <v>320</v>
      </c>
      <c r="G17" s="18" t="n">
        <f aca="false">D17*E17*F17</f>
        <v>134400</v>
      </c>
      <c r="H17" s="6"/>
      <c r="I17" s="6" t="str">
        <f aca="false">IF(H17&lt;&gt;"",D17*E17*H17,"")</f>
        <v/>
      </c>
    </row>
    <row r="18" customFormat="false" ht="18" hidden="false" customHeight="true" outlineLevel="0" collapsed="false">
      <c r="A18" s="2" t="s">
        <v>24</v>
      </c>
      <c r="B18" s="2" t="s">
        <v>89</v>
      </c>
      <c r="C18" s="2" t="s">
        <v>135</v>
      </c>
      <c r="D18" s="4" t="n">
        <v>2</v>
      </c>
      <c r="E18" s="4" t="n">
        <v>280</v>
      </c>
      <c r="F18" s="4" t="n">
        <v>320</v>
      </c>
      <c r="G18" s="18" t="n">
        <f aca="false">D18*E18*F18</f>
        <v>179200</v>
      </c>
      <c r="H18" s="6"/>
      <c r="I18" s="6" t="str">
        <f aca="false">IF(H18&lt;&gt;"",D18*E18*H18,"")</f>
        <v/>
      </c>
    </row>
    <row r="19" customFormat="false" ht="18" hidden="false" customHeight="true" outlineLevel="0" collapsed="false">
      <c r="A19" s="8" t="s">
        <v>24</v>
      </c>
      <c r="B19" s="8" t="s">
        <v>92</v>
      </c>
      <c r="C19" s="8" t="s">
        <v>136</v>
      </c>
      <c r="D19" s="10" t="n">
        <v>2</v>
      </c>
      <c r="E19" s="10" t="n">
        <v>260</v>
      </c>
      <c r="F19" s="10" t="n">
        <v>300</v>
      </c>
      <c r="G19" s="18" t="n">
        <f aca="false">D19*E19*F19</f>
        <v>156000</v>
      </c>
      <c r="H19" s="6"/>
      <c r="I19" s="6" t="str">
        <f aca="false">IF(H19&lt;&gt;"",D19*E19*H19,"")</f>
        <v/>
      </c>
    </row>
    <row r="20" customFormat="false" ht="18" hidden="false" customHeight="true" outlineLevel="0" collapsed="false">
      <c r="A20" s="2" t="s">
        <v>24</v>
      </c>
      <c r="B20" s="2" t="s">
        <v>94</v>
      </c>
      <c r="C20" s="2" t="s">
        <v>129</v>
      </c>
      <c r="D20" s="4" t="n">
        <v>2</v>
      </c>
      <c r="E20" s="4" t="n">
        <v>140</v>
      </c>
      <c r="F20" s="4" t="n">
        <v>160</v>
      </c>
      <c r="G20" s="18" t="n">
        <f aca="false">D20*E20*F20</f>
        <v>44800</v>
      </c>
      <c r="H20" s="6"/>
      <c r="I20" s="6" t="str">
        <f aca="false">IF(H20&lt;&gt;"",D20*E20*H20,"")</f>
        <v/>
      </c>
    </row>
    <row r="21" customFormat="false" ht="18" hidden="false" customHeight="true" outlineLevel="0" collapsed="false">
      <c r="A21" s="8" t="s">
        <v>26</v>
      </c>
      <c r="B21" s="8" t="s">
        <v>95</v>
      </c>
      <c r="C21" s="8" t="s">
        <v>129</v>
      </c>
      <c r="D21" s="10" t="n">
        <v>2</v>
      </c>
      <c r="E21" s="10" t="n">
        <v>140</v>
      </c>
      <c r="F21" s="10" t="n">
        <v>80</v>
      </c>
      <c r="G21" s="18" t="n">
        <f aca="false">D21*E21*F21</f>
        <v>22400</v>
      </c>
      <c r="H21" s="6"/>
      <c r="I21" s="6" t="str">
        <f aca="false">IF(H21&lt;&gt;"",D21*E21*H21,"")</f>
        <v/>
      </c>
    </row>
    <row r="22" customFormat="false" ht="18" hidden="false" customHeight="true" outlineLevel="0" collapsed="false">
      <c r="A22" s="2" t="s">
        <v>26</v>
      </c>
      <c r="B22" s="2" t="s">
        <v>97</v>
      </c>
      <c r="C22" s="2" t="s">
        <v>129</v>
      </c>
      <c r="D22" s="4" t="n">
        <v>2</v>
      </c>
      <c r="E22" s="4" t="n">
        <v>140</v>
      </c>
      <c r="F22" s="4" t="n">
        <v>96</v>
      </c>
      <c r="G22" s="18" t="n">
        <f aca="false">D22*E22*F22</f>
        <v>26880</v>
      </c>
      <c r="H22" s="6"/>
      <c r="I22" s="6" t="str">
        <f aca="false">IF(H22&lt;&gt;"",D22*E22*H22,"")</f>
        <v/>
      </c>
    </row>
    <row r="23" customFormat="false" ht="18" hidden="false" customHeight="true" outlineLevel="0" collapsed="false">
      <c r="A23" s="8" t="s">
        <v>137</v>
      </c>
      <c r="B23" s="8" t="s">
        <v>138</v>
      </c>
      <c r="C23" s="8" t="s">
        <v>139</v>
      </c>
      <c r="D23" s="10" t="n">
        <v>1</v>
      </c>
      <c r="E23" s="10" t="n">
        <v>500</v>
      </c>
      <c r="F23" s="10" t="n">
        <v>840</v>
      </c>
      <c r="G23" s="18" t="n">
        <f aca="false">D23*E23*F23</f>
        <v>420000</v>
      </c>
      <c r="H23" s="6"/>
      <c r="I23" s="6" t="str">
        <f aca="false">IF(H23&lt;&gt;"",D23*E23*H23,"")</f>
        <v/>
      </c>
    </row>
    <row r="24" customFormat="false" ht="21.75" hidden="false" customHeight="true" outlineLevel="0" collapsed="false">
      <c r="A24" s="11" t="s">
        <v>27</v>
      </c>
      <c r="B24" s="11"/>
      <c r="C24" s="11"/>
      <c r="D24" s="11"/>
      <c r="E24" s="11"/>
      <c r="F24" s="11"/>
      <c r="G24" s="12" t="n">
        <f aca="false">SUM(G2:G23)</f>
        <v>2724000</v>
      </c>
      <c r="I24" s="12" t="n">
        <f aca="false">SUM(I2:I23)</f>
        <v>0</v>
      </c>
    </row>
  </sheetData>
  <mergeCells count="1"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42" hidden="false" customHeight="true" outlineLevel="0" collapsed="false">
      <c r="A1" s="1" t="s">
        <v>0</v>
      </c>
      <c r="B1" s="1" t="s">
        <v>28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8</v>
      </c>
      <c r="H1" s="1" t="s">
        <v>144</v>
      </c>
      <c r="I1" s="1" t="s">
        <v>13</v>
      </c>
    </row>
    <row r="2" customFormat="false" ht="18" hidden="false" customHeight="true" outlineLevel="0" collapsed="false">
      <c r="A2" s="2" t="s">
        <v>16</v>
      </c>
      <c r="B2" s="2" t="s">
        <v>47</v>
      </c>
      <c r="C2" s="2" t="s">
        <v>145</v>
      </c>
      <c r="D2" s="4" t="n">
        <v>1</v>
      </c>
      <c r="E2" s="4" t="n">
        <v>2500</v>
      </c>
      <c r="F2" s="4" t="n">
        <v>120</v>
      </c>
      <c r="G2" s="19" t="n">
        <f aca="false">D2*E2*F2</f>
        <v>300000</v>
      </c>
      <c r="H2" s="6"/>
      <c r="I2" s="6" t="str">
        <f aca="false">IF(H2&lt;&gt;"",D2*E2*H2,"")</f>
        <v/>
      </c>
    </row>
    <row r="3" customFormat="false" ht="18" hidden="false" customHeight="true" outlineLevel="0" collapsed="false">
      <c r="A3" s="8" t="s">
        <v>16</v>
      </c>
      <c r="B3" s="8" t="s">
        <v>47</v>
      </c>
      <c r="C3" s="8" t="s">
        <v>146</v>
      </c>
      <c r="D3" s="10" t="n">
        <v>2</v>
      </c>
      <c r="E3" s="10" t="n">
        <v>1800</v>
      </c>
      <c r="F3" s="10" t="n">
        <v>80</v>
      </c>
      <c r="G3" s="19" t="n">
        <f aca="false">D3*E3*F3</f>
        <v>288000</v>
      </c>
      <c r="H3" s="6"/>
      <c r="I3" s="6" t="str">
        <f aca="false">IF(H3&lt;&gt;"",D3*E3*H3,"")</f>
        <v/>
      </c>
    </row>
    <row r="4" customFormat="false" ht="18" hidden="false" customHeight="true" outlineLevel="0" collapsed="false">
      <c r="A4" s="2" t="s">
        <v>16</v>
      </c>
      <c r="B4" s="2" t="s">
        <v>50</v>
      </c>
      <c r="C4" s="2" t="s">
        <v>147</v>
      </c>
      <c r="D4" s="4" t="n">
        <v>1</v>
      </c>
      <c r="E4" s="4" t="n">
        <v>2200</v>
      </c>
      <c r="F4" s="4" t="n">
        <v>40</v>
      </c>
      <c r="G4" s="19" t="n">
        <f aca="false">D4*E4*F4</f>
        <v>88000</v>
      </c>
      <c r="H4" s="6"/>
      <c r="I4" s="6" t="str">
        <f aca="false">IF(H4&lt;&gt;"",D4*E4*H4,"")</f>
        <v/>
      </c>
    </row>
    <row r="5" customFormat="false" ht="18" hidden="false" customHeight="true" outlineLevel="0" collapsed="false">
      <c r="A5" s="8" t="s">
        <v>18</v>
      </c>
      <c r="B5" s="8" t="s">
        <v>53</v>
      </c>
      <c r="C5" s="8" t="s">
        <v>148</v>
      </c>
      <c r="D5" s="10" t="n">
        <v>1</v>
      </c>
      <c r="E5" s="10" t="n">
        <v>600</v>
      </c>
      <c r="F5" s="10" t="n">
        <v>40</v>
      </c>
      <c r="G5" s="19" t="n">
        <f aca="false">D5*E5*F5</f>
        <v>24000</v>
      </c>
      <c r="H5" s="6"/>
      <c r="I5" s="6" t="str">
        <f aca="false">IF(H5&lt;&gt;"",D5*E5*H5,"")</f>
        <v/>
      </c>
    </row>
    <row r="6" customFormat="false" ht="18" hidden="false" customHeight="true" outlineLevel="0" collapsed="false">
      <c r="A6" s="2" t="s">
        <v>18</v>
      </c>
      <c r="B6" s="2" t="s">
        <v>56</v>
      </c>
      <c r="C6" s="2" t="s">
        <v>149</v>
      </c>
      <c r="D6" s="4" t="n">
        <v>2</v>
      </c>
      <c r="E6" s="4" t="n">
        <v>2000</v>
      </c>
      <c r="F6" s="4" t="n">
        <v>60</v>
      </c>
      <c r="G6" s="19" t="n">
        <f aca="false">D6*E6*F6</f>
        <v>240000</v>
      </c>
      <c r="H6" s="6"/>
      <c r="I6" s="6" t="str">
        <f aca="false">IF(H6&lt;&gt;"",D6*E6*H6,"")</f>
        <v/>
      </c>
    </row>
    <row r="7" customFormat="false" ht="18" hidden="false" customHeight="true" outlineLevel="0" collapsed="false">
      <c r="A7" s="8" t="s">
        <v>18</v>
      </c>
      <c r="B7" s="8" t="s">
        <v>56</v>
      </c>
      <c r="C7" s="8" t="s">
        <v>150</v>
      </c>
      <c r="D7" s="10" t="n">
        <v>1</v>
      </c>
      <c r="E7" s="10" t="n">
        <v>3500</v>
      </c>
      <c r="F7" s="10" t="n">
        <v>40</v>
      </c>
      <c r="G7" s="19" t="n">
        <f aca="false">D7*E7*F7</f>
        <v>140000</v>
      </c>
      <c r="H7" s="6"/>
      <c r="I7" s="6" t="str">
        <f aca="false">IF(H7&lt;&gt;"",D7*E7*H7,"")</f>
        <v/>
      </c>
    </row>
    <row r="8" customFormat="false" ht="18" hidden="false" customHeight="true" outlineLevel="0" collapsed="false">
      <c r="A8" s="2" t="s">
        <v>18</v>
      </c>
      <c r="B8" s="2" t="s">
        <v>56</v>
      </c>
      <c r="C8" s="2" t="s">
        <v>151</v>
      </c>
      <c r="D8" s="4" t="n">
        <v>1</v>
      </c>
      <c r="E8" s="4" t="n">
        <v>4000</v>
      </c>
      <c r="F8" s="4" t="n">
        <v>80</v>
      </c>
      <c r="G8" s="19" t="n">
        <f aca="false">D8*E8*F8</f>
        <v>320000</v>
      </c>
      <c r="H8" s="6"/>
      <c r="I8" s="6" t="str">
        <f aca="false">IF(H8&lt;&gt;"",D8*E8*H8,"")</f>
        <v/>
      </c>
    </row>
    <row r="9" customFormat="false" ht="18" hidden="false" customHeight="true" outlineLevel="0" collapsed="false">
      <c r="A9" s="8" t="s">
        <v>19</v>
      </c>
      <c r="B9" s="8" t="s">
        <v>62</v>
      </c>
      <c r="C9" s="8" t="s">
        <v>151</v>
      </c>
      <c r="D9" s="10" t="n">
        <v>1</v>
      </c>
      <c r="E9" s="10" t="n">
        <v>4000</v>
      </c>
      <c r="F9" s="10" t="n">
        <v>80</v>
      </c>
      <c r="G9" s="19" t="n">
        <f aca="false">D9*E9*F9</f>
        <v>320000</v>
      </c>
      <c r="H9" s="6"/>
      <c r="I9" s="6" t="str">
        <f aca="false">IF(H9&lt;&gt;"",D9*E9*H9,"")</f>
        <v/>
      </c>
    </row>
    <row r="10" customFormat="false" ht="18" hidden="false" customHeight="true" outlineLevel="0" collapsed="false">
      <c r="A10" s="2" t="s">
        <v>19</v>
      </c>
      <c r="B10" s="2" t="s">
        <v>65</v>
      </c>
      <c r="C10" s="2" t="s">
        <v>151</v>
      </c>
      <c r="D10" s="4" t="n">
        <v>1</v>
      </c>
      <c r="E10" s="4" t="n">
        <v>4000</v>
      </c>
      <c r="F10" s="4" t="n">
        <v>80</v>
      </c>
      <c r="G10" s="19" t="n">
        <f aca="false">D10*E10*F10</f>
        <v>320000</v>
      </c>
      <c r="H10" s="6"/>
      <c r="I10" s="6" t="str">
        <f aca="false">IF(H10&lt;&gt;"",D10*E10*H10,"")</f>
        <v/>
      </c>
    </row>
    <row r="11" customFormat="false" ht="18" hidden="false" customHeight="true" outlineLevel="0" collapsed="false">
      <c r="A11" s="8" t="s">
        <v>19</v>
      </c>
      <c r="B11" s="8" t="s">
        <v>68</v>
      </c>
      <c r="C11" s="8" t="s">
        <v>149</v>
      </c>
      <c r="D11" s="10" t="n">
        <v>2</v>
      </c>
      <c r="E11" s="10" t="n">
        <v>2000</v>
      </c>
      <c r="F11" s="10" t="n">
        <v>40</v>
      </c>
      <c r="G11" s="19" t="n">
        <f aca="false">D11*E11*F11</f>
        <v>160000</v>
      </c>
      <c r="H11" s="6"/>
      <c r="I11" s="6" t="str">
        <f aca="false">IF(H11&lt;&gt;"",D11*E11*H11,"")</f>
        <v/>
      </c>
    </row>
    <row r="12" customFormat="false" ht="18" hidden="false" customHeight="true" outlineLevel="0" collapsed="false">
      <c r="A12" s="2" t="s">
        <v>21</v>
      </c>
      <c r="B12" s="2" t="s">
        <v>71</v>
      </c>
      <c r="C12" s="2" t="s">
        <v>152</v>
      </c>
      <c r="D12" s="4" t="n">
        <v>1</v>
      </c>
      <c r="E12" s="4" t="n">
        <v>3000</v>
      </c>
      <c r="F12" s="4" t="n">
        <v>24</v>
      </c>
      <c r="G12" s="19" t="n">
        <f aca="false">D12*E12*F12</f>
        <v>72000</v>
      </c>
      <c r="H12" s="6"/>
      <c r="I12" s="6" t="str">
        <f aca="false">IF(H12&lt;&gt;"",D12*E12*H12,"")</f>
        <v/>
      </c>
    </row>
    <row r="13" customFormat="false" ht="18" hidden="false" customHeight="true" outlineLevel="0" collapsed="false">
      <c r="A13" s="8" t="s">
        <v>22</v>
      </c>
      <c r="B13" s="8" t="s">
        <v>77</v>
      </c>
      <c r="C13" s="8" t="s">
        <v>153</v>
      </c>
      <c r="D13" s="10" t="n">
        <v>1</v>
      </c>
      <c r="E13" s="10" t="n">
        <v>1200</v>
      </c>
      <c r="F13" s="10" t="n">
        <v>80</v>
      </c>
      <c r="G13" s="19" t="n">
        <f aca="false">D13*E13*F13</f>
        <v>96000</v>
      </c>
      <c r="H13" s="6"/>
      <c r="I13" s="6" t="str">
        <f aca="false">IF(H13&lt;&gt;"",D13*E13*H13,"")</f>
        <v/>
      </c>
    </row>
    <row r="14" customFormat="false" ht="18" hidden="false" customHeight="true" outlineLevel="0" collapsed="false">
      <c r="A14" s="2" t="s">
        <v>26</v>
      </c>
      <c r="B14" s="2" t="s">
        <v>95</v>
      </c>
      <c r="C14" s="2" t="s">
        <v>148</v>
      </c>
      <c r="D14" s="4" t="n">
        <v>1</v>
      </c>
      <c r="E14" s="4" t="n">
        <v>600</v>
      </c>
      <c r="F14" s="4" t="n">
        <v>16</v>
      </c>
      <c r="G14" s="19" t="n">
        <f aca="false">D14*E14*F14</f>
        <v>9600</v>
      </c>
      <c r="H14" s="6"/>
      <c r="I14" s="6" t="str">
        <f aca="false">IF(H14&lt;&gt;"",D14*E14*H14,"")</f>
        <v/>
      </c>
    </row>
    <row r="15" customFormat="false" ht="18" hidden="false" customHeight="true" outlineLevel="0" collapsed="false">
      <c r="A15" s="8" t="s">
        <v>26</v>
      </c>
      <c r="B15" s="8" t="s">
        <v>97</v>
      </c>
      <c r="C15" s="8" t="s">
        <v>154</v>
      </c>
      <c r="D15" s="10" t="n">
        <v>1</v>
      </c>
      <c r="E15" s="10" t="n">
        <v>1500</v>
      </c>
      <c r="F15" s="10" t="n">
        <v>24</v>
      </c>
      <c r="G15" s="19" t="n">
        <f aca="false">D15*E15*F15</f>
        <v>36000</v>
      </c>
      <c r="H15" s="6"/>
      <c r="I15" s="6" t="str">
        <f aca="false">IF(H15&lt;&gt;"",D15*E15*H15,"")</f>
        <v/>
      </c>
    </row>
    <row r="16" customFormat="false" ht="21.75" hidden="false" customHeight="true" outlineLevel="0" collapsed="false">
      <c r="A16" s="11" t="s">
        <v>27</v>
      </c>
      <c r="B16" s="11"/>
      <c r="C16" s="11"/>
      <c r="D16" s="11"/>
      <c r="E16" s="11"/>
      <c r="F16" s="11"/>
      <c r="G16" s="12" t="n">
        <f aca="false">SUM(G2:G15)</f>
        <v>2413600</v>
      </c>
      <c r="I16" s="12" t="n">
        <f aca="false">SUM(I2:I15)</f>
        <v>0</v>
      </c>
    </row>
  </sheetData>
  <mergeCells count="1"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2026-04-10T16:58:06Z</dcterms:created>
  <dc:creator>openpyxl</dc:creator>
  <dc:description/>
  <dc:language>en-US</dc:language>
  <cp:lastModifiedBy/>
  <dcterms:modified xsi:type="dcterms:W3CDTF">2026-04-10T16:58:07Z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