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Бюджет" sheetId="1" state="visible" r:id="rId1"/>
    <sheet xmlns:r="http://schemas.openxmlformats.org/officeDocument/2006/relationships" name="2. Этапы и задачи" sheetId="2" state="visible" r:id="rId2"/>
    <sheet xmlns:r="http://schemas.openxmlformats.org/officeDocument/2006/relationships" name="3. Материалы" sheetId="3" state="visible" r:id="rId3"/>
    <sheet xmlns:r="http://schemas.openxmlformats.org/officeDocument/2006/relationships" name="4. Трудозатраты" sheetId="4" state="visible" r:id="rId4"/>
    <sheet xmlns:r="http://schemas.openxmlformats.org/officeDocument/2006/relationships" name="5. Техника" sheetId="5" state="visible" r:id="rId5"/>
    <sheet xmlns:r="http://schemas.openxmlformats.org/officeDocument/2006/relationships" name="6. Подзадачи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88888"/>
      <sz val="9"/>
    </font>
    <font>
      <b val="1"/>
      <color rgb="00FFFFFF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3" fontId="7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3" fontId="7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11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/>
    </xf>
    <xf numFmtId="0" fontId="12" fillId="12" borderId="7" applyAlignment="1" pivotButton="0" quotePrefix="0" xfId="0">
      <alignment horizontal="left" vertical="center"/>
    </xf>
    <xf numFmtId="165" fontId="12" fillId="12" borderId="7" applyAlignment="1" pivotButton="0" quotePrefix="0" xfId="0">
      <alignment horizontal="left" vertical="center"/>
    </xf>
    <xf numFmtId="0" fontId="12" fillId="13" borderId="7" applyAlignment="1" pivotButton="0" quotePrefix="0" xfId="0">
      <alignment horizontal="center" vertical="center"/>
    </xf>
    <xf numFmtId="0" fontId="12" fillId="13" borderId="7" applyAlignment="1" pivotButton="0" quotePrefix="0" xfId="0">
      <alignment horizontal="left" vertical="center"/>
    </xf>
    <xf numFmtId="165" fontId="12" fillId="13" borderId="7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N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9" customWidth="1" style="20" min="2" max="2"/>
    <col width="11" customWidth="1" style="20" min="3" max="3"/>
    <col width="13" customWidth="1" style="20" min="4" max="4"/>
    <col width="15" customWidth="1" style="20" min="5" max="5"/>
    <col width="13" customWidth="1" style="20" min="6" max="8"/>
    <col width="15" customWidth="1" style="20" min="9" max="10"/>
    <col width="13" customWidth="1" style="20" min="11" max="13"/>
    <col width="15" customWidth="1" style="20" min="14" max="14"/>
  </cols>
  <sheetData>
    <row r="1" ht="42" customHeight="1" s="21">
      <c r="A1" s="22" t="inlineStr">
        <is>
          <t>Этап</t>
        </is>
      </c>
      <c r="B1" s="22" t="inlineStr">
        <is>
          <t>Ед. изм.</t>
        </is>
      </c>
      <c r="C1" s="22" t="inlineStr">
        <is>
          <t>Объём план</t>
        </is>
      </c>
      <c r="D1" s="22" t="inlineStr">
        <is>
          <t>Цена ед. план, ₽</t>
        </is>
      </c>
      <c r="E1" s="22" t="inlineStr">
        <is>
          <t>Материалы план, ₽</t>
        </is>
      </c>
      <c r="F1" s="22" t="inlineStr">
        <is>
          <t>ФОТ план, ₽</t>
        </is>
      </c>
      <c r="G1" s="22" t="inlineStr">
        <is>
          <t>Техника план, ₽</t>
        </is>
      </c>
      <c r="H1" s="22" t="inlineStr">
        <is>
          <t>Прочее план, ₽</t>
        </is>
      </c>
      <c r="I1" s="22" t="inlineStr">
        <is>
          <t>Итого план, ₽</t>
        </is>
      </c>
      <c r="J1" s="22" t="inlineStr">
        <is>
          <t>Материалы факт, ₽</t>
        </is>
      </c>
      <c r="K1" s="22" t="inlineStr">
        <is>
          <t>ФОТ факт, ₽</t>
        </is>
      </c>
      <c r="L1" s="22" t="inlineStr">
        <is>
          <t>Техника факт, ₽</t>
        </is>
      </c>
      <c r="M1" s="22" t="inlineStr">
        <is>
          <t>Прочее факт, ₽</t>
        </is>
      </c>
      <c r="N1" s="22" t="inlineStr">
        <is>
          <t>Итого факт, ₽</t>
        </is>
      </c>
    </row>
    <row r="2" ht="18" customHeight="1" s="21">
      <c r="A2" s="23" t="inlineStr">
        <is>
          <t>1. Подготовительные работы</t>
        </is>
      </c>
      <c r="B2" s="24" t="inlineStr">
        <is>
          <t>компл.</t>
        </is>
      </c>
      <c r="C2" s="25" t="n">
        <v>1</v>
      </c>
      <c r="D2" s="25" t="n">
        <v>150000</v>
      </c>
      <c r="E2" s="25" t="n">
        <v>50000</v>
      </c>
      <c r="F2" s="25" t="n">
        <v>65000</v>
      </c>
      <c r="G2" s="25" t="n">
        <v>20000</v>
      </c>
      <c r="H2" s="25" t="n">
        <v>15000</v>
      </c>
      <c r="I2" s="26">
        <f>E2+F2+G2+H2</f>
        <v/>
      </c>
      <c r="J2" s="27" t="n"/>
      <c r="K2" s="27" t="n"/>
      <c r="L2" s="27" t="n"/>
      <c r="M2" s="27" t="n"/>
      <c r="N2" s="28">
        <f>IF(COUNTA(J2:M2)&gt;0,SUM(J2:M2),"")</f>
        <v/>
      </c>
    </row>
    <row r="3" ht="18" customHeight="1" s="21">
      <c r="A3" s="29" t="inlineStr">
        <is>
          <t>2. Земляные работы</t>
        </is>
      </c>
      <c r="B3" s="30" t="inlineStr">
        <is>
          <t>м³</t>
        </is>
      </c>
      <c r="C3" s="31" t="n">
        <v>320</v>
      </c>
      <c r="D3" s="31" t="n">
        <v>1500</v>
      </c>
      <c r="E3" s="31" t="n">
        <v>180000</v>
      </c>
      <c r="F3" s="31" t="n">
        <v>240000</v>
      </c>
      <c r="G3" s="31" t="n">
        <v>150000</v>
      </c>
      <c r="H3" s="31" t="n">
        <v>30000</v>
      </c>
      <c r="I3" s="26">
        <f>E3+F3+G3+H3</f>
        <v/>
      </c>
      <c r="J3" s="27" t="n"/>
      <c r="K3" s="27" t="n"/>
      <c r="L3" s="27" t="n"/>
      <c r="M3" s="27" t="n"/>
      <c r="N3" s="28">
        <f>IF(COUNTA(J3:M3)&gt;0,SUM(J3:M3),"")</f>
        <v/>
      </c>
    </row>
    <row r="4" ht="18" customHeight="1" s="21">
      <c r="A4" s="23" t="inlineStr">
        <is>
          <t>3. Фундамент</t>
        </is>
      </c>
      <c r="B4" s="24" t="inlineStr">
        <is>
          <t>м³</t>
        </is>
      </c>
      <c r="C4" s="25" t="n">
        <v>120</v>
      </c>
      <c r="D4" s="25" t="n">
        <v>17500</v>
      </c>
      <c r="E4" s="25" t="n">
        <v>1020000</v>
      </c>
      <c r="F4" s="25" t="n">
        <v>720000</v>
      </c>
      <c r="G4" s="25" t="n">
        <v>200000</v>
      </c>
      <c r="H4" s="25" t="n">
        <v>160000</v>
      </c>
      <c r="I4" s="26">
        <f>E4+F4+G4+H4</f>
        <v/>
      </c>
      <c r="J4" s="27" t="n"/>
      <c r="K4" s="27" t="n"/>
      <c r="L4" s="27" t="n"/>
      <c r="M4" s="27" t="n"/>
      <c r="N4" s="28">
        <f>IF(COUNTA(J4:M4)&gt;0,SUM(J4:M4),"")</f>
        <v/>
      </c>
    </row>
    <row r="5" ht="18" customHeight="1" s="21">
      <c r="A5" s="29" t="inlineStr">
        <is>
          <t>4. Стены и перекрытия</t>
        </is>
      </c>
      <c r="B5" s="30" t="inlineStr">
        <is>
          <t>м²</t>
        </is>
      </c>
      <c r="C5" s="31" t="n">
        <v>850</v>
      </c>
      <c r="D5" s="31" t="n">
        <v>4750</v>
      </c>
      <c r="E5" s="31" t="n">
        <v>1500000</v>
      </c>
      <c r="F5" s="31" t="n">
        <v>1680000</v>
      </c>
      <c r="G5" s="31" t="n">
        <v>80000</v>
      </c>
      <c r="H5" s="31" t="n">
        <v>180000</v>
      </c>
      <c r="I5" s="26">
        <f>E5+F5+G5+H5</f>
        <v/>
      </c>
      <c r="J5" s="27" t="n"/>
      <c r="K5" s="27" t="n"/>
      <c r="L5" s="27" t="n"/>
      <c r="M5" s="27" t="n"/>
      <c r="N5" s="28">
        <f>IF(COUNTA(J5:M5)&gt;0,SUM(J5:M5),"")</f>
        <v/>
      </c>
    </row>
    <row r="6" ht="18" customHeight="1" s="21">
      <c r="A6" s="23" t="inlineStr">
        <is>
          <t>5. Кровля</t>
        </is>
      </c>
      <c r="B6" s="24" t="inlineStr">
        <is>
          <t>м²</t>
        </is>
      </c>
      <c r="C6" s="25" t="n">
        <v>180</v>
      </c>
      <c r="D6" s="25" t="n">
        <v>3500</v>
      </c>
      <c r="E6" s="25" t="n">
        <v>216000</v>
      </c>
      <c r="F6" s="25" t="n">
        <v>280000</v>
      </c>
      <c r="G6" s="25" t="n">
        <v>60000</v>
      </c>
      <c r="H6" s="25" t="n">
        <v>50000</v>
      </c>
      <c r="I6" s="26">
        <f>E6+F6+G6+H6</f>
        <v/>
      </c>
      <c r="J6" s="27" t="n"/>
      <c r="K6" s="27" t="n"/>
      <c r="L6" s="27" t="n"/>
      <c r="M6" s="27" t="n"/>
      <c r="N6" s="28">
        <f>IF(COUNTA(J6:M6)&gt;0,SUM(J6:M6),"")</f>
        <v/>
      </c>
    </row>
    <row r="7" ht="18" customHeight="1" s="21">
      <c r="A7" s="29" t="inlineStr">
        <is>
          <t>6. Фасад и окна</t>
        </is>
      </c>
      <c r="B7" s="30" t="inlineStr">
        <is>
          <t>м²</t>
        </is>
      </c>
      <c r="C7" s="31" t="n">
        <v>420</v>
      </c>
      <c r="D7" s="31" t="n">
        <v>2600</v>
      </c>
      <c r="E7" s="31" t="n">
        <v>420000</v>
      </c>
      <c r="F7" s="31" t="n">
        <v>420000</v>
      </c>
      <c r="G7" s="31" t="n">
        <v>30000</v>
      </c>
      <c r="H7" s="31" t="n">
        <v>102000</v>
      </c>
      <c r="I7" s="26">
        <f>E7+F7+G7+H7</f>
        <v/>
      </c>
      <c r="J7" s="27" t="n"/>
      <c r="K7" s="27" t="n"/>
      <c r="L7" s="27" t="n"/>
      <c r="M7" s="27" t="n"/>
      <c r="N7" s="28">
        <f>IF(COUNTA(J7:M7)&gt;0,SUM(J7:M7),"")</f>
        <v/>
      </c>
    </row>
    <row r="8" ht="18" customHeight="1" s="21">
      <c r="A8" s="23" t="inlineStr">
        <is>
          <t>7. Внутренняя отделка</t>
        </is>
      </c>
      <c r="B8" s="24" t="inlineStr">
        <is>
          <t>м²</t>
        </is>
      </c>
      <c r="C8" s="25" t="n">
        <v>580</v>
      </c>
      <c r="D8" s="25" t="n">
        <v>3200</v>
      </c>
      <c r="E8" s="25" t="n">
        <v>580000</v>
      </c>
      <c r="F8" s="25" t="n">
        <v>700000</v>
      </c>
      <c r="G8" s="25" t="n">
        <v>0</v>
      </c>
      <c r="H8" s="25" t="n">
        <v>276000</v>
      </c>
      <c r="I8" s="26">
        <f>E8+F8+G8+H8</f>
        <v/>
      </c>
      <c r="J8" s="27" t="n"/>
      <c r="K8" s="27" t="n"/>
      <c r="L8" s="27" t="n"/>
      <c r="M8" s="27" t="n"/>
      <c r="N8" s="28">
        <f>IF(COUNTA(J8:M8)&gt;0,SUM(J8:M8),"")</f>
        <v/>
      </c>
    </row>
    <row r="9" ht="18" customHeight="1" s="21">
      <c r="A9" s="29" t="inlineStr">
        <is>
          <t>8. Инженерные системы</t>
        </is>
      </c>
      <c r="B9" s="30" t="inlineStr">
        <is>
          <t>усл.</t>
        </is>
      </c>
      <c r="C9" s="31" t="n">
        <v>1</v>
      </c>
      <c r="D9" s="31" t="n">
        <v>1580000</v>
      </c>
      <c r="E9" s="31" t="n">
        <v>480000</v>
      </c>
      <c r="F9" s="31" t="n">
        <v>580000</v>
      </c>
      <c r="G9" s="31" t="n">
        <v>0</v>
      </c>
      <c r="H9" s="31" t="n">
        <v>520000</v>
      </c>
      <c r="I9" s="26">
        <f>E9+F9+G9+H9</f>
        <v/>
      </c>
      <c r="J9" s="27" t="n"/>
      <c r="K9" s="27" t="n"/>
      <c r="L9" s="27" t="n"/>
      <c r="M9" s="27" t="n"/>
      <c r="N9" s="28">
        <f>IF(COUNTA(J9:M9)&gt;0,SUM(J9:M9),"")</f>
        <v/>
      </c>
    </row>
    <row r="10" ht="18" customHeight="1" s="21">
      <c r="A10" s="23" t="inlineStr">
        <is>
          <t>9. Благоустройство</t>
        </is>
      </c>
      <c r="B10" s="24" t="inlineStr">
        <is>
          <t>м²</t>
        </is>
      </c>
      <c r="C10" s="25" t="n">
        <v>300</v>
      </c>
      <c r="D10" s="25" t="n">
        <v>1800</v>
      </c>
      <c r="E10" s="25" t="n">
        <v>100000</v>
      </c>
      <c r="F10" s="25" t="n">
        <v>200000</v>
      </c>
      <c r="G10" s="25" t="n">
        <v>60000</v>
      </c>
      <c r="H10" s="25" t="n">
        <v>80000</v>
      </c>
      <c r="I10" s="26">
        <f>E10+F10+G10+H10</f>
        <v/>
      </c>
      <c r="J10" s="27" t="n"/>
      <c r="K10" s="27" t="n"/>
      <c r="L10" s="27" t="n"/>
      <c r="M10" s="27" t="n"/>
      <c r="N10" s="28">
        <f>IF(COUNTA(J10:M10)&gt;0,SUM(J10:M10),"")</f>
        <v/>
      </c>
    </row>
    <row r="11" ht="21.75" customHeight="1" s="21">
      <c r="A11" s="32" t="inlineStr">
        <is>
          <t>ИТОГО</t>
        </is>
      </c>
      <c r="B11" s="33" t="n"/>
      <c r="C11" s="33" t="n"/>
      <c r="D11" s="34" t="n"/>
      <c r="E11" s="35">
        <f>SUM(E2:E10)</f>
        <v/>
      </c>
      <c r="F11" s="35">
        <f>SUM(F2:F10)</f>
        <v/>
      </c>
      <c r="G11" s="35">
        <f>SUM(G2:G10)</f>
        <v/>
      </c>
      <c r="H11" s="35">
        <f>SUM(H2:H10)</f>
        <v/>
      </c>
      <c r="I11" s="35">
        <f>SUM(I2:I10)</f>
        <v/>
      </c>
      <c r="J11" s="35">
        <f>SUM(J2:J10)</f>
        <v/>
      </c>
      <c r="K11" s="35">
        <f>SUM(K2:K10)</f>
        <v/>
      </c>
      <c r="L11" s="35">
        <f>SUM(L2:L10)</f>
        <v/>
      </c>
      <c r="M11" s="35">
        <f>SUM(M2:M10)</f>
        <v/>
      </c>
      <c r="N11" s="35">
        <f>SUM(N2:N10)</f>
        <v/>
      </c>
    </row>
  </sheetData>
  <mergeCells count="1"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32" customWidth="1" style="20" min="2" max="2"/>
    <col width="16" customWidth="1" style="20" min="3" max="3"/>
    <col width="13" customWidth="1" style="20" min="4" max="5"/>
    <col width="12" customWidth="1" style="20" min="6" max="6"/>
    <col width="15" customWidth="1" style="20" min="7" max="7"/>
    <col width="13" customWidth="1" style="20" min="8" max="9"/>
    <col width="12" customWidth="1" style="20" min="10" max="10"/>
    <col width="15" customWidth="1" style="20" min="11" max="11"/>
  </cols>
  <sheetData>
    <row r="1" ht="42" customHeight="1" s="21">
      <c r="A1" s="22" t="inlineStr">
        <is>
          <t>Этап</t>
        </is>
      </c>
      <c r="B1" s="22" t="inlineStr">
        <is>
          <t>Задача</t>
        </is>
      </c>
      <c r="C1" s="22" t="inlineStr">
        <is>
          <t>Отв. прораб</t>
        </is>
      </c>
      <c r="D1" s="22" t="inlineStr">
        <is>
          <t>Дата нач. план</t>
        </is>
      </c>
      <c r="E1" s="22" t="inlineStr">
        <is>
          <t>Дата ок. план</t>
        </is>
      </c>
      <c r="F1" s="22" t="inlineStr">
        <is>
          <t>Готовн. план, %</t>
        </is>
      </c>
      <c r="G1" s="22" t="inlineStr">
        <is>
          <t>Бюджет план, ₽</t>
        </is>
      </c>
      <c r="H1" s="22" t="inlineStr">
        <is>
          <t>Дата нач. факт</t>
        </is>
      </c>
      <c r="I1" s="22" t="inlineStr">
        <is>
          <t>Дата ок. факт</t>
        </is>
      </c>
      <c r="J1" s="22" t="inlineStr">
        <is>
          <t>Готовн. факт, %</t>
        </is>
      </c>
      <c r="K1" s="22" t="inlineStr">
        <is>
          <t>Бюджет факт, ₽</t>
        </is>
      </c>
    </row>
    <row r="2" ht="18" customHeight="1" s="21">
      <c r="A2" s="23" t="inlineStr">
        <is>
          <t>1. Подготовительные работы</t>
        </is>
      </c>
      <c r="B2" s="23" t="inlineStr">
        <is>
          <t>Временные здания и сооружения</t>
        </is>
      </c>
      <c r="C2" s="23" t="inlineStr">
        <is>
          <t>Иванов А.П.</t>
        </is>
      </c>
      <c r="D2" s="24" t="inlineStr">
        <is>
          <t>01.06.2026</t>
        </is>
      </c>
      <c r="E2" s="24" t="inlineStr">
        <is>
          <t>07.06.2026</t>
        </is>
      </c>
      <c r="F2" s="36" t="n">
        <v>1</v>
      </c>
      <c r="G2" s="25" t="n">
        <v>50000</v>
      </c>
      <c r="H2" s="37" t="n"/>
      <c r="I2" s="37" t="n"/>
      <c r="J2" s="38" t="n"/>
      <c r="K2" s="27" t="n"/>
    </row>
    <row r="3" ht="18" customHeight="1" s="21">
      <c r="A3" s="29" t="inlineStr">
        <is>
          <t>1. Подготовительные работы</t>
        </is>
      </c>
      <c r="B3" s="29" t="inlineStr">
        <is>
          <t>Ограждение стройплощадки</t>
        </is>
      </c>
      <c r="C3" s="29" t="inlineStr">
        <is>
          <t>Иванов А.П.</t>
        </is>
      </c>
      <c r="D3" s="30" t="inlineStr">
        <is>
          <t>01.06.2026</t>
        </is>
      </c>
      <c r="E3" s="30" t="inlineStr">
        <is>
          <t>05.06.2026</t>
        </is>
      </c>
      <c r="F3" s="39" t="n">
        <v>1</v>
      </c>
      <c r="G3" s="31" t="n">
        <v>40000</v>
      </c>
      <c r="H3" s="37" t="n"/>
      <c r="I3" s="37" t="n"/>
      <c r="J3" s="38" t="n"/>
      <c r="K3" s="27" t="n"/>
    </row>
    <row r="4" ht="18" customHeight="1" s="21">
      <c r="A4" s="23" t="inlineStr">
        <is>
          <t>1. Подготовительные работы</t>
        </is>
      </c>
      <c r="B4" s="23" t="inlineStr">
        <is>
          <t>Подключение к коммуникациям</t>
        </is>
      </c>
      <c r="C4" s="23" t="inlineStr">
        <is>
          <t>Иванов А.П.</t>
        </is>
      </c>
      <c r="D4" s="24" t="inlineStr">
        <is>
          <t>03.06.2026</t>
        </is>
      </c>
      <c r="E4" s="24" t="inlineStr">
        <is>
          <t>10.06.2026</t>
        </is>
      </c>
      <c r="F4" s="36" t="n">
        <v>1</v>
      </c>
      <c r="G4" s="25" t="n">
        <v>60000</v>
      </c>
      <c r="H4" s="37" t="n"/>
      <c r="I4" s="37" t="n"/>
      <c r="J4" s="38" t="n"/>
      <c r="K4" s="27" t="n"/>
    </row>
    <row r="5" ht="18" customHeight="1" s="21">
      <c r="A5" s="29" t="inlineStr">
        <is>
          <t>2. Земляные работы</t>
        </is>
      </c>
      <c r="B5" s="29" t="inlineStr">
        <is>
          <t>Разработка котлована</t>
        </is>
      </c>
      <c r="C5" s="29" t="inlineStr">
        <is>
          <t>Иванов А.П.</t>
        </is>
      </c>
      <c r="D5" s="30" t="inlineStr">
        <is>
          <t>08.06.2026</t>
        </is>
      </c>
      <c r="E5" s="30" t="inlineStr">
        <is>
          <t>22.06.2026</t>
        </is>
      </c>
      <c r="F5" s="39" t="n">
        <v>1</v>
      </c>
      <c r="G5" s="31" t="n">
        <v>300000</v>
      </c>
      <c r="H5" s="37" t="n"/>
      <c r="I5" s="37" t="n"/>
      <c r="J5" s="38" t="n"/>
      <c r="K5" s="27" t="n"/>
    </row>
    <row r="6" ht="18" customHeight="1" s="21">
      <c r="A6" s="23" t="inlineStr">
        <is>
          <t>2. Земляные работы</t>
        </is>
      </c>
      <c r="B6" s="23" t="inlineStr">
        <is>
          <t>Планировка территории</t>
        </is>
      </c>
      <c r="C6" s="23" t="inlineStr">
        <is>
          <t>Иванов А.П.</t>
        </is>
      </c>
      <c r="D6" s="24" t="inlineStr">
        <is>
          <t>20.06.2026</t>
        </is>
      </c>
      <c r="E6" s="24" t="inlineStr">
        <is>
          <t>28.06.2026</t>
        </is>
      </c>
      <c r="F6" s="36" t="n">
        <v>1</v>
      </c>
      <c r="G6" s="25" t="n">
        <v>180000</v>
      </c>
      <c r="H6" s="37" t="n"/>
      <c r="I6" s="37" t="n"/>
      <c r="J6" s="38" t="n"/>
      <c r="K6" s="27" t="n"/>
    </row>
    <row r="7" ht="18" customHeight="1" s="21">
      <c r="A7" s="29" t="inlineStr">
        <is>
          <t>3. Фундамент</t>
        </is>
      </c>
      <c r="B7" s="29" t="inlineStr">
        <is>
          <t>Устройство подушки</t>
        </is>
      </c>
      <c r="C7" s="29" t="inlineStr">
        <is>
          <t>Иванов А.П.</t>
        </is>
      </c>
      <c r="D7" s="30" t="inlineStr">
        <is>
          <t>25.06.2026</t>
        </is>
      </c>
      <c r="E7" s="30" t="inlineStr">
        <is>
          <t>05.07.2026</t>
        </is>
      </c>
      <c r="F7" s="39" t="n">
        <v>1</v>
      </c>
      <c r="G7" s="31" t="n">
        <v>400000</v>
      </c>
      <c r="H7" s="37" t="n"/>
      <c r="I7" s="37" t="n"/>
      <c r="J7" s="38" t="n"/>
      <c r="K7" s="27" t="n"/>
    </row>
    <row r="8" ht="18" customHeight="1" s="21">
      <c r="A8" s="23" t="inlineStr">
        <is>
          <t>3. Фундамент</t>
        </is>
      </c>
      <c r="B8" s="23" t="inlineStr">
        <is>
          <t>Монолитный ростверк</t>
        </is>
      </c>
      <c r="C8" s="23" t="inlineStr">
        <is>
          <t>Иванов А.П.</t>
        </is>
      </c>
      <c r="D8" s="24" t="inlineStr">
        <is>
          <t>03.07.2026</t>
        </is>
      </c>
      <c r="E8" s="24" t="inlineStr">
        <is>
          <t>20.07.2026</t>
        </is>
      </c>
      <c r="F8" s="36" t="n">
        <v>0.65</v>
      </c>
      <c r="G8" s="25" t="n">
        <v>1200000</v>
      </c>
      <c r="H8" s="37" t="n"/>
      <c r="I8" s="37" t="n"/>
      <c r="J8" s="38" t="n"/>
      <c r="K8" s="27" t="n"/>
    </row>
    <row r="9" ht="18" customHeight="1" s="21">
      <c r="A9" s="29" t="inlineStr">
        <is>
          <t>3. Фундамент</t>
        </is>
      </c>
      <c r="B9" s="29" t="inlineStr">
        <is>
          <t>Гидроизоляция фундамента</t>
        </is>
      </c>
      <c r="C9" s="29" t="inlineStr">
        <is>
          <t>Иванов А.П.</t>
        </is>
      </c>
      <c r="D9" s="30" t="inlineStr">
        <is>
          <t>18.07.2026</t>
        </is>
      </c>
      <c r="E9" s="30" t="inlineStr">
        <is>
          <t>25.07.2026</t>
        </is>
      </c>
      <c r="F9" s="39" t="n">
        <v>0</v>
      </c>
      <c r="G9" s="31" t="n">
        <v>500000</v>
      </c>
      <c r="H9" s="37" t="n"/>
      <c r="I9" s="37" t="n"/>
      <c r="J9" s="38" t="n"/>
      <c r="K9" s="27" t="n"/>
    </row>
    <row r="10" ht="18" customHeight="1" s="21">
      <c r="A10" s="23" t="inlineStr">
        <is>
          <t>4. Стены и перекрытия</t>
        </is>
      </c>
      <c r="B10" s="23" t="inlineStr">
        <is>
          <t>Кладка стен 1-го этажа</t>
        </is>
      </c>
      <c r="C10" s="23" t="inlineStr">
        <is>
          <t>Иванов А.П.</t>
        </is>
      </c>
      <c r="D10" s="24" t="inlineStr">
        <is>
          <t>22.07.2026</t>
        </is>
      </c>
      <c r="E10" s="24" t="inlineStr">
        <is>
          <t>15.08.2026</t>
        </is>
      </c>
      <c r="F10" s="36" t="n">
        <v>0</v>
      </c>
      <c r="G10" s="25" t="n">
        <v>900000</v>
      </c>
      <c r="H10" s="37" t="n"/>
      <c r="I10" s="37" t="n"/>
      <c r="J10" s="38" t="n"/>
      <c r="K10" s="27" t="n"/>
    </row>
    <row r="11" ht="18" customHeight="1" s="21">
      <c r="A11" s="29" t="inlineStr">
        <is>
          <t>4. Стены и перекрытия</t>
        </is>
      </c>
      <c r="B11" s="29" t="inlineStr">
        <is>
          <t>Кладка стен 2-го этажа</t>
        </is>
      </c>
      <c r="C11" s="29" t="inlineStr">
        <is>
          <t>Иванов А.П.</t>
        </is>
      </c>
      <c r="D11" s="30" t="inlineStr">
        <is>
          <t>12.08.2026</t>
        </is>
      </c>
      <c r="E11" s="30" t="inlineStr">
        <is>
          <t>05.09.2026</t>
        </is>
      </c>
      <c r="F11" s="39" t="n">
        <v>0</v>
      </c>
      <c r="G11" s="31" t="n">
        <v>900000</v>
      </c>
      <c r="H11" s="37" t="n"/>
      <c r="I11" s="37" t="n"/>
      <c r="J11" s="38" t="n"/>
      <c r="K11" s="27" t="n"/>
    </row>
    <row r="12" ht="18" customHeight="1" s="21">
      <c r="A12" s="23" t="inlineStr">
        <is>
          <t>4. Стены и перекрытия</t>
        </is>
      </c>
      <c r="B12" s="23" t="inlineStr">
        <is>
          <t>Устройство перекрытий</t>
        </is>
      </c>
      <c r="C12" s="23" t="inlineStr">
        <is>
          <t>Иванов А.П.</t>
        </is>
      </c>
      <c r="D12" s="24" t="inlineStr">
        <is>
          <t>03.09.2026</t>
        </is>
      </c>
      <c r="E12" s="24" t="inlineStr">
        <is>
          <t>20.09.2026</t>
        </is>
      </c>
      <c r="F12" s="36" t="n">
        <v>0</v>
      </c>
      <c r="G12" s="25" t="n">
        <v>840000</v>
      </c>
      <c r="H12" s="37" t="n"/>
      <c r="I12" s="37" t="n"/>
      <c r="J12" s="38" t="n"/>
      <c r="K12" s="27" t="n"/>
    </row>
    <row r="13" ht="18" customHeight="1" s="21">
      <c r="A13" s="29" t="inlineStr">
        <is>
          <t>5. Кровля</t>
        </is>
      </c>
      <c r="B13" s="29" t="inlineStr">
        <is>
          <t>Стропильная система</t>
        </is>
      </c>
      <c r="C13" s="29" t="inlineStr">
        <is>
          <t>Иванов А.П.</t>
        </is>
      </c>
      <c r="D13" s="30" t="inlineStr">
        <is>
          <t>18.09.2026</t>
        </is>
      </c>
      <c r="E13" s="30" t="inlineStr">
        <is>
          <t>30.09.2026</t>
        </is>
      </c>
      <c r="F13" s="39" t="n">
        <v>0</v>
      </c>
      <c r="G13" s="31" t="n">
        <v>280000</v>
      </c>
      <c r="H13" s="37" t="n"/>
      <c r="I13" s="37" t="n"/>
      <c r="J13" s="38" t="n"/>
      <c r="K13" s="27" t="n"/>
    </row>
    <row r="14" ht="18" customHeight="1" s="21">
      <c r="A14" s="23" t="inlineStr">
        <is>
          <t>5. Кровля</t>
        </is>
      </c>
      <c r="B14" s="23" t="inlineStr">
        <is>
          <t>Кровельное покрытие</t>
        </is>
      </c>
      <c r="C14" s="23" t="inlineStr">
        <is>
          <t>Иванов А.П.</t>
        </is>
      </c>
      <c r="D14" s="24" t="inlineStr">
        <is>
          <t>28.09.2026</t>
        </is>
      </c>
      <c r="E14" s="24" t="inlineStr">
        <is>
          <t>12.10.2026</t>
        </is>
      </c>
      <c r="F14" s="36" t="n">
        <v>0</v>
      </c>
      <c r="G14" s="25" t="n">
        <v>350000</v>
      </c>
      <c r="H14" s="37" t="n"/>
      <c r="I14" s="37" t="n"/>
      <c r="J14" s="38" t="n"/>
      <c r="K14" s="27" t="n"/>
    </row>
    <row r="15" ht="18" customHeight="1" s="21">
      <c r="A15" s="29" t="inlineStr">
        <is>
          <t>6. Фасад и окна</t>
        </is>
      </c>
      <c r="B15" s="29" t="inlineStr">
        <is>
          <t>Утепление и штукатурка фасада</t>
        </is>
      </c>
      <c r="C15" s="29" t="inlineStr">
        <is>
          <t>Иванов А.П.</t>
        </is>
      </c>
      <c r="D15" s="30" t="inlineStr">
        <is>
          <t>10.10.2026</t>
        </is>
      </c>
      <c r="E15" s="30" t="inlineStr">
        <is>
          <t>28.10.2026</t>
        </is>
      </c>
      <c r="F15" s="39" t="n">
        <v>0</v>
      </c>
      <c r="G15" s="31" t="n">
        <v>500000</v>
      </c>
      <c r="H15" s="37" t="n"/>
      <c r="I15" s="37" t="n"/>
      <c r="J15" s="38" t="n"/>
      <c r="K15" s="27" t="n"/>
    </row>
    <row r="16" ht="18" customHeight="1" s="21">
      <c r="A16" s="23" t="inlineStr">
        <is>
          <t>6. Фасад и окна</t>
        </is>
      </c>
      <c r="B16" s="23" t="inlineStr">
        <is>
          <t>Окна и двери</t>
        </is>
      </c>
      <c r="C16" s="23" t="inlineStr">
        <is>
          <t>Иванов А.П.</t>
        </is>
      </c>
      <c r="D16" s="24" t="inlineStr">
        <is>
          <t>15.10.2026</t>
        </is>
      </c>
      <c r="E16" s="24" t="inlineStr">
        <is>
          <t>30.10.2026</t>
        </is>
      </c>
      <c r="F16" s="36" t="n">
        <v>0</v>
      </c>
      <c r="G16" s="25" t="n">
        <v>350000</v>
      </c>
      <c r="H16" s="37" t="n"/>
      <c r="I16" s="37" t="n"/>
      <c r="J16" s="38" t="n"/>
      <c r="K16" s="27" t="n"/>
    </row>
    <row r="17" ht="18" customHeight="1" s="21">
      <c r="A17" s="29" t="inlineStr">
        <is>
          <t>7. Внутренняя отделка</t>
        </is>
      </c>
      <c r="B17" s="29" t="inlineStr">
        <is>
          <t>Черновые полы / штукатурка</t>
        </is>
      </c>
      <c r="C17" s="29" t="inlineStr">
        <is>
          <t>Иванов А.П.</t>
        </is>
      </c>
      <c r="D17" s="30" t="inlineStr">
        <is>
          <t>01.11.2026</t>
        </is>
      </c>
      <c r="E17" s="30" t="inlineStr">
        <is>
          <t>20.11.2026</t>
        </is>
      </c>
      <c r="F17" s="39" t="n">
        <v>0</v>
      </c>
      <c r="G17" s="31" t="n">
        <v>600000</v>
      </c>
      <c r="H17" s="37" t="n"/>
      <c r="I17" s="37" t="n"/>
      <c r="J17" s="38" t="n"/>
      <c r="K17" s="27" t="n"/>
    </row>
    <row r="18" ht="18" customHeight="1" s="21">
      <c r="A18" s="23" t="inlineStr">
        <is>
          <t>7. Внутренняя отделка</t>
        </is>
      </c>
      <c r="B18" s="23" t="inlineStr">
        <is>
          <t>Чистовая отделка</t>
        </is>
      </c>
      <c r="C18" s="23" t="inlineStr">
        <is>
          <t>Иванов А.П.</t>
        </is>
      </c>
      <c r="D18" s="24" t="inlineStr">
        <is>
          <t>15.11.2026</t>
        </is>
      </c>
      <c r="E18" s="24" t="inlineStr">
        <is>
          <t>30.11.2026</t>
        </is>
      </c>
      <c r="F18" s="36" t="n">
        <v>0</v>
      </c>
      <c r="G18" s="25" t="n">
        <v>1256000</v>
      </c>
      <c r="H18" s="37" t="n"/>
      <c r="I18" s="37" t="n"/>
      <c r="J18" s="38" t="n"/>
      <c r="K18" s="27" t="n"/>
    </row>
    <row r="19" ht="18" customHeight="1" s="21">
      <c r="A19" s="29" t="inlineStr">
        <is>
          <t>8. Инженерные системы</t>
        </is>
      </c>
      <c r="B19" s="29" t="inlineStr">
        <is>
          <t>Электромонтаж</t>
        </is>
      </c>
      <c r="C19" s="29" t="inlineStr">
        <is>
          <t>Иванов А.П.</t>
        </is>
      </c>
      <c r="D19" s="30" t="inlineStr">
        <is>
          <t>20.10.2026</t>
        </is>
      </c>
      <c r="E19" s="30" t="inlineStr">
        <is>
          <t>10.11.2026</t>
        </is>
      </c>
      <c r="F19" s="39" t="n">
        <v>0</v>
      </c>
      <c r="G19" s="31" t="n">
        <v>620000</v>
      </c>
      <c r="H19" s="37" t="n"/>
      <c r="I19" s="37" t="n"/>
      <c r="J19" s="38" t="n"/>
      <c r="K19" s="27" t="n"/>
    </row>
    <row r="20" ht="18" customHeight="1" s="21">
      <c r="A20" s="23" t="inlineStr">
        <is>
          <t>8. Инженерные системы</t>
        </is>
      </c>
      <c r="B20" s="23" t="inlineStr">
        <is>
          <t>Сантехника</t>
        </is>
      </c>
      <c r="C20" s="23" t="inlineStr">
        <is>
          <t>Иванов А.П.</t>
        </is>
      </c>
      <c r="D20" s="24" t="inlineStr">
        <is>
          <t>25.10.2026</t>
        </is>
      </c>
      <c r="E20" s="24" t="inlineStr">
        <is>
          <t>15.11.2026</t>
        </is>
      </c>
      <c r="F20" s="36" t="n">
        <v>0</v>
      </c>
      <c r="G20" s="25" t="n">
        <v>480000</v>
      </c>
      <c r="H20" s="37" t="n"/>
      <c r="I20" s="37" t="n"/>
      <c r="J20" s="38" t="n"/>
      <c r="K20" s="27" t="n"/>
    </row>
    <row r="21" ht="18" customHeight="1" s="21">
      <c r="A21" s="29" t="inlineStr">
        <is>
          <t>8. Инженерные системы</t>
        </is>
      </c>
      <c r="B21" s="29" t="inlineStr">
        <is>
          <t>Вентиляция</t>
        </is>
      </c>
      <c r="C21" s="29" t="inlineStr">
        <is>
          <t>Иванов А.П.</t>
        </is>
      </c>
      <c r="D21" s="30" t="inlineStr">
        <is>
          <t>01.11.2026</t>
        </is>
      </c>
      <c r="E21" s="30" t="inlineStr">
        <is>
          <t>20.11.2026</t>
        </is>
      </c>
      <c r="F21" s="39" t="n">
        <v>0</v>
      </c>
      <c r="G21" s="31" t="n">
        <v>480000</v>
      </c>
      <c r="H21" s="37" t="n"/>
      <c r="I21" s="37" t="n"/>
      <c r="J21" s="38" t="n"/>
      <c r="K21" s="27" t="n"/>
    </row>
    <row r="22" ht="18" customHeight="1" s="21">
      <c r="A22" s="23" t="inlineStr">
        <is>
          <t>9. Благоустройство</t>
        </is>
      </c>
      <c r="B22" s="23" t="inlineStr">
        <is>
          <t>Отмостка</t>
        </is>
      </c>
      <c r="C22" s="23" t="inlineStr">
        <is>
          <t>Иванов А.П.</t>
        </is>
      </c>
      <c r="D22" s="24" t="inlineStr">
        <is>
          <t>15.11.2026</t>
        </is>
      </c>
      <c r="E22" s="24" t="inlineStr">
        <is>
          <t>25.11.2026</t>
        </is>
      </c>
      <c r="F22" s="36" t="n">
        <v>0</v>
      </c>
      <c r="G22" s="25" t="n">
        <v>170000</v>
      </c>
      <c r="H22" s="37" t="n"/>
      <c r="I22" s="37" t="n"/>
      <c r="J22" s="38" t="n"/>
      <c r="K22" s="27" t="n"/>
    </row>
    <row r="23" ht="18" customHeight="1" s="21">
      <c r="A23" s="29" t="inlineStr">
        <is>
          <t>9. Благоустройство</t>
        </is>
      </c>
      <c r="B23" s="29" t="inlineStr">
        <is>
          <t>Озеленение и дорожки</t>
        </is>
      </c>
      <c r="C23" s="29" t="inlineStr">
        <is>
          <t>Иванов А.П.</t>
        </is>
      </c>
      <c r="D23" s="30" t="inlineStr">
        <is>
          <t>20.11.2026</t>
        </is>
      </c>
      <c r="E23" s="30" t="inlineStr">
        <is>
          <t>30.11.2026</t>
        </is>
      </c>
      <c r="F23" s="39" t="n">
        <v>0</v>
      </c>
      <c r="G23" s="31" t="n">
        <v>370000</v>
      </c>
      <c r="H23" s="37" t="n"/>
      <c r="I23" s="37" t="n"/>
      <c r="J23" s="38" t="n"/>
      <c r="K23" s="27" t="n"/>
    </row>
    <row r="24" ht="21.75" customHeight="1" s="21">
      <c r="A24" s="32" t="inlineStr">
        <is>
          <t>ИТОГО</t>
        </is>
      </c>
      <c r="B24" s="33" t="n"/>
      <c r="C24" s="33" t="n"/>
      <c r="D24" s="33" t="n"/>
      <c r="E24" s="33" t="n"/>
      <c r="F24" s="34" t="n"/>
      <c r="G24" s="35">
        <f>SUM(G2:G23)</f>
        <v/>
      </c>
      <c r="K24" s="35">
        <f>SUM(K2:K23)</f>
        <v/>
      </c>
    </row>
  </sheetData>
  <mergeCells count="1">
    <mergeCell ref="A24:F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M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30" customWidth="1" style="20" min="2" max="2"/>
    <col width="25" customWidth="1" style="20" min="3" max="3"/>
    <col width="9" customWidth="1" style="20" min="4" max="4"/>
    <col width="14" customWidth="1" style="20" min="5" max="5"/>
    <col width="12" customWidth="1" style="20" min="6" max="6"/>
    <col width="15" customWidth="1" style="20" min="7" max="7"/>
    <col width="14" customWidth="1" style="20" min="8" max="8"/>
    <col width="13" customWidth="1" style="20" min="9" max="9"/>
    <col width="16" customWidth="1" style="20" min="10" max="10"/>
    <col width="15" customWidth="1" style="20" min="11" max="12"/>
    <col width="13" customWidth="1" style="20" min="13" max="13"/>
  </cols>
  <sheetData>
    <row r="1" ht="42" customHeight="1" s="21">
      <c r="A1" s="22" t="inlineStr">
        <is>
          <t>Этап</t>
        </is>
      </c>
      <c r="B1" s="22" t="inlineStr">
        <is>
          <t>Задача</t>
        </is>
      </c>
      <c r="C1" s="22" t="inlineStr">
        <is>
          <t>Наименование</t>
        </is>
      </c>
      <c r="D1" s="22" t="inlineStr">
        <is>
          <t>Ед. изм.</t>
        </is>
      </c>
      <c r="E1" s="22" t="inlineStr">
        <is>
          <t>Цена ед. план, ₽</t>
        </is>
      </c>
      <c r="F1" s="22" t="inlineStr">
        <is>
          <t>Объём план</t>
        </is>
      </c>
      <c r="G1" s="22" t="inlineStr">
        <is>
          <t>Стоим. план, ₽</t>
        </is>
      </c>
      <c r="H1" s="22" t="inlineStr">
        <is>
          <t>Цена ед. факт, ₽</t>
        </is>
      </c>
      <c r="I1" s="22" t="inlineStr">
        <is>
          <t>Объём куплено</t>
        </is>
      </c>
      <c r="J1" s="22" t="inlineStr">
        <is>
          <t>Объём израсходовано</t>
        </is>
      </c>
      <c r="K1" s="22" t="inlineStr">
        <is>
          <t>Остаток на складе</t>
        </is>
      </c>
      <c r="L1" s="22" t="inlineStr">
        <is>
          <t>Стоим. факт, ₽</t>
        </is>
      </c>
      <c r="M1" s="22" t="inlineStr">
        <is>
          <t>Порог уведомл., %</t>
        </is>
      </c>
    </row>
    <row r="2" ht="18" customHeight="1" s="21">
      <c r="A2" s="23" t="inlineStr">
        <is>
          <t>3. Фундамент</t>
        </is>
      </c>
      <c r="B2" s="23" t="inlineStr">
        <is>
          <t>Устройство подушки</t>
        </is>
      </c>
      <c r="C2" s="23" t="inlineStr">
        <is>
          <t>Песок строительный</t>
        </is>
      </c>
      <c r="D2" s="24" t="inlineStr">
        <is>
          <t>м³</t>
        </is>
      </c>
      <c r="E2" s="25" t="n">
        <v>900</v>
      </c>
      <c r="F2" s="25" t="n">
        <v>80</v>
      </c>
      <c r="G2" s="40">
        <f>E2*F2</f>
        <v/>
      </c>
      <c r="H2" s="27" t="n"/>
      <c r="I2" s="27" t="n"/>
      <c r="J2" s="27" t="n"/>
      <c r="K2" s="27">
        <f>IF(AND(I2&lt;&gt;"",J2&lt;&gt;""),I2-J2,"")</f>
        <v/>
      </c>
      <c r="L2" s="27">
        <f>IF(I2&lt;&gt;"",IF(H2&lt;&gt;"",H2*I2,E2*I2),"")</f>
        <v/>
      </c>
      <c r="M2" s="36" t="n">
        <v>0.2</v>
      </c>
    </row>
    <row r="3" ht="18" customHeight="1" s="21">
      <c r="A3" s="29" t="inlineStr">
        <is>
          <t>3. Фундамент</t>
        </is>
      </c>
      <c r="B3" s="29" t="inlineStr">
        <is>
          <t>Устройство подушки</t>
        </is>
      </c>
      <c r="C3" s="29" t="inlineStr">
        <is>
          <t>Щебень фр. 20-40</t>
        </is>
      </c>
      <c r="D3" s="30" t="inlineStr">
        <is>
          <t>м³</t>
        </is>
      </c>
      <c r="E3" s="31" t="n">
        <v>1400</v>
      </c>
      <c r="F3" s="31" t="n">
        <v>60</v>
      </c>
      <c r="G3" s="40">
        <f>E3*F3</f>
        <v/>
      </c>
      <c r="H3" s="27" t="n"/>
      <c r="I3" s="27" t="n"/>
      <c r="J3" s="27" t="n"/>
      <c r="K3" s="27">
        <f>IF(AND(I3&lt;&gt;"",J3&lt;&gt;""),I3-J3,"")</f>
        <v/>
      </c>
      <c r="L3" s="27">
        <f>IF(I3&lt;&gt;"",IF(H3&lt;&gt;"",H3*I3,E3*I3),"")</f>
        <v/>
      </c>
      <c r="M3" s="39" t="n">
        <v>0.2</v>
      </c>
    </row>
    <row r="4" ht="18" customHeight="1" s="21">
      <c r="A4" s="23" t="inlineStr">
        <is>
          <t>3. Фундамент</t>
        </is>
      </c>
      <c r="B4" s="23" t="inlineStr">
        <is>
          <t>Монолитный ростверк</t>
        </is>
      </c>
      <c r="C4" s="23" t="inlineStr">
        <is>
          <t>Бетон М300</t>
        </is>
      </c>
      <c r="D4" s="24" t="inlineStr">
        <is>
          <t>м³</t>
        </is>
      </c>
      <c r="E4" s="25" t="n">
        <v>8500</v>
      </c>
      <c r="F4" s="25" t="n">
        <v>120</v>
      </c>
      <c r="G4" s="40">
        <f>E4*F4</f>
        <v/>
      </c>
      <c r="H4" s="27" t="n"/>
      <c r="I4" s="27" t="n"/>
      <c r="J4" s="27" t="n"/>
      <c r="K4" s="27">
        <f>IF(AND(I4&lt;&gt;"",J4&lt;&gt;""),I4-J4,"")</f>
        <v/>
      </c>
      <c r="L4" s="27">
        <f>IF(I4&lt;&gt;"",IF(H4&lt;&gt;"",H4*I4,E4*I4),"")</f>
        <v/>
      </c>
      <c r="M4" s="36" t="n">
        <v>0.2</v>
      </c>
    </row>
    <row r="5" ht="18" customHeight="1" s="21">
      <c r="A5" s="29" t="inlineStr">
        <is>
          <t>3. Фундамент</t>
        </is>
      </c>
      <c r="B5" s="29" t="inlineStr">
        <is>
          <t>Монолитный ростверк</t>
        </is>
      </c>
      <c r="C5" s="29" t="inlineStr">
        <is>
          <t>Арматура 12мм</t>
        </is>
      </c>
      <c r="D5" s="30" t="inlineStr">
        <is>
          <t>тонн</t>
        </is>
      </c>
      <c r="E5" s="31" t="n">
        <v>70000</v>
      </c>
      <c r="F5" s="31" t="n">
        <v>80</v>
      </c>
      <c r="G5" s="40">
        <f>E5*F5</f>
        <v/>
      </c>
      <c r="H5" s="27" t="n"/>
      <c r="I5" s="27" t="n"/>
      <c r="J5" s="27" t="n"/>
      <c r="K5" s="27">
        <f>IF(AND(I5&lt;&gt;"",J5&lt;&gt;""),I5-J5,"")</f>
        <v/>
      </c>
      <c r="L5" s="27">
        <f>IF(I5&lt;&gt;"",IF(H5&lt;&gt;"",H5*I5,E5*I5),"")</f>
        <v/>
      </c>
      <c r="M5" s="39" t="n">
        <v>0.2</v>
      </c>
    </row>
    <row r="6" ht="18" customHeight="1" s="21">
      <c r="A6" s="23" t="inlineStr">
        <is>
          <t>3. Фундамент</t>
        </is>
      </c>
      <c r="B6" s="23" t="inlineStr">
        <is>
          <t>Монолитный ростверк</t>
        </is>
      </c>
      <c r="C6" s="23" t="inlineStr">
        <is>
          <t>Опалубка (аренда)</t>
        </is>
      </c>
      <c r="D6" s="24" t="inlineStr">
        <is>
          <t>м²</t>
        </is>
      </c>
      <c r="E6" s="25" t="n">
        <v>350</v>
      </c>
      <c r="F6" s="25" t="n">
        <v>200</v>
      </c>
      <c r="G6" s="40">
        <f>E6*F6</f>
        <v/>
      </c>
      <c r="H6" s="27" t="n"/>
      <c r="I6" s="27" t="n"/>
      <c r="J6" s="27" t="n"/>
      <c r="K6" s="27">
        <f>IF(AND(I6&lt;&gt;"",J6&lt;&gt;""),I6-J6,"")</f>
        <v/>
      </c>
      <c r="L6" s="27">
        <f>IF(I6&lt;&gt;"",IF(H6&lt;&gt;"",H6*I6,E6*I6),"")</f>
        <v/>
      </c>
      <c r="M6" s="36" t="n">
        <v>0.2</v>
      </c>
    </row>
    <row r="7" ht="18" customHeight="1" s="21">
      <c r="A7" s="29" t="inlineStr">
        <is>
          <t>3. Фундамент</t>
        </is>
      </c>
      <c r="B7" s="29" t="inlineStr">
        <is>
          <t>Гидроизоляция фундамента</t>
        </is>
      </c>
      <c r="C7" s="29" t="inlineStr">
        <is>
          <t>Гидроизоляция</t>
        </is>
      </c>
      <c r="D7" s="30" t="inlineStr">
        <is>
          <t>м²</t>
        </is>
      </c>
      <c r="E7" s="31" t="n">
        <v>280</v>
      </c>
      <c r="F7" s="31" t="n">
        <v>400</v>
      </c>
      <c r="G7" s="40">
        <f>E7*F7</f>
        <v/>
      </c>
      <c r="H7" s="27" t="n"/>
      <c r="I7" s="27" t="n"/>
      <c r="J7" s="27" t="n"/>
      <c r="K7" s="27">
        <f>IF(AND(I7&lt;&gt;"",J7&lt;&gt;""),I7-J7,"")</f>
        <v/>
      </c>
      <c r="L7" s="27">
        <f>IF(I7&lt;&gt;"",IF(H7&lt;&gt;"",H7*I7,E7*I7),"")</f>
        <v/>
      </c>
      <c r="M7" s="39" t="n">
        <v>0.2</v>
      </c>
    </row>
    <row r="8" ht="18" customHeight="1" s="21">
      <c r="A8" s="23" t="inlineStr">
        <is>
          <t>4. Стены и перекрытия</t>
        </is>
      </c>
      <c r="B8" s="23" t="inlineStr">
        <is>
          <t>Кладка стен 1-го этажа</t>
        </is>
      </c>
      <c r="C8" s="23" t="inlineStr">
        <is>
          <t>Кирпич рядовой</t>
        </is>
      </c>
      <c r="D8" s="24" t="inlineStr">
        <is>
          <t>тыс.шт</t>
        </is>
      </c>
      <c r="E8" s="25" t="n">
        <v>18000</v>
      </c>
      <c r="F8" s="25" t="n">
        <v>28</v>
      </c>
      <c r="G8" s="40">
        <f>E8*F8</f>
        <v/>
      </c>
      <c r="H8" s="27" t="n"/>
      <c r="I8" s="27" t="n"/>
      <c r="J8" s="27" t="n"/>
      <c r="K8" s="27">
        <f>IF(AND(I8&lt;&gt;"",J8&lt;&gt;""),I8-J8,"")</f>
        <v/>
      </c>
      <c r="L8" s="27">
        <f>IF(I8&lt;&gt;"",IF(H8&lt;&gt;"",H8*I8,E8*I8),"")</f>
        <v/>
      </c>
      <c r="M8" s="36" t="n">
        <v>0.2</v>
      </c>
    </row>
    <row r="9" ht="18" customHeight="1" s="21">
      <c r="A9" s="29" t="inlineStr">
        <is>
          <t>4. Стены и перекрытия</t>
        </is>
      </c>
      <c r="B9" s="29" t="inlineStr">
        <is>
          <t>Кладка стен 1-го этажа</t>
        </is>
      </c>
      <c r="C9" s="29" t="inlineStr">
        <is>
          <t>Цемент М400</t>
        </is>
      </c>
      <c r="D9" s="30" t="inlineStr">
        <is>
          <t>тонн</t>
        </is>
      </c>
      <c r="E9" s="31" t="n">
        <v>5200</v>
      </c>
      <c r="F9" s="31" t="n">
        <v>40</v>
      </c>
      <c r="G9" s="40">
        <f>E9*F9</f>
        <v/>
      </c>
      <c r="H9" s="27" t="n"/>
      <c r="I9" s="27" t="n"/>
      <c r="J9" s="27" t="n"/>
      <c r="K9" s="27">
        <f>IF(AND(I9&lt;&gt;"",J9&lt;&gt;""),I9-J9,"")</f>
        <v/>
      </c>
      <c r="L9" s="27">
        <f>IF(I9&lt;&gt;"",IF(H9&lt;&gt;"",H9*I9,E9*I9),"")</f>
        <v/>
      </c>
      <c r="M9" s="39" t="n">
        <v>0.2</v>
      </c>
    </row>
    <row r="10" ht="18" customHeight="1" s="21">
      <c r="A10" s="23" t="inlineStr">
        <is>
          <t>4. Стены и перекрытия</t>
        </is>
      </c>
      <c r="B10" s="23" t="inlineStr">
        <is>
          <t>Кладка стен 2-го этажа</t>
        </is>
      </c>
      <c r="C10" s="23" t="inlineStr">
        <is>
          <t>Кирпич рядовой</t>
        </is>
      </c>
      <c r="D10" s="24" t="inlineStr">
        <is>
          <t>тыс.шт</t>
        </is>
      </c>
      <c r="E10" s="25" t="n">
        <v>18000</v>
      </c>
      <c r="F10" s="25" t="n">
        <v>22</v>
      </c>
      <c r="G10" s="40">
        <f>E10*F10</f>
        <v/>
      </c>
      <c r="H10" s="27" t="n"/>
      <c r="I10" s="27" t="n"/>
      <c r="J10" s="27" t="n"/>
      <c r="K10" s="27">
        <f>IF(AND(I10&lt;&gt;"",J10&lt;&gt;""),I10-J10,"")</f>
        <v/>
      </c>
      <c r="L10" s="27">
        <f>IF(I10&lt;&gt;"",IF(H10&lt;&gt;"",H10*I10,E10*I10),"")</f>
        <v/>
      </c>
      <c r="M10" s="36" t="n">
        <v>0.2</v>
      </c>
    </row>
    <row r="11" ht="18" customHeight="1" s="21">
      <c r="A11" s="29" t="inlineStr">
        <is>
          <t>4. Стены и перекрытия</t>
        </is>
      </c>
      <c r="B11" s="29" t="inlineStr">
        <is>
          <t>Кладка стен 2-го этажа</t>
        </is>
      </c>
      <c r="C11" s="29" t="inlineStr">
        <is>
          <t>Цемент М400</t>
        </is>
      </c>
      <c r="D11" s="30" t="inlineStr">
        <is>
          <t>тонн</t>
        </is>
      </c>
      <c r="E11" s="31" t="n">
        <v>5200</v>
      </c>
      <c r="F11" s="31" t="n">
        <v>30</v>
      </c>
      <c r="G11" s="40">
        <f>E11*F11</f>
        <v/>
      </c>
      <c r="H11" s="27" t="n"/>
      <c r="I11" s="27" t="n"/>
      <c r="J11" s="27" t="n"/>
      <c r="K11" s="27">
        <f>IF(AND(I11&lt;&gt;"",J11&lt;&gt;""),I11-J11,"")</f>
        <v/>
      </c>
      <c r="L11" s="27">
        <f>IF(I11&lt;&gt;"",IF(H11&lt;&gt;"",H11*I11,E11*I11),"")</f>
        <v/>
      </c>
      <c r="M11" s="39" t="n">
        <v>0.2</v>
      </c>
    </row>
    <row r="12" ht="18" customHeight="1" s="21">
      <c r="A12" s="23" t="inlineStr">
        <is>
          <t>4. Стены и перекрытия</t>
        </is>
      </c>
      <c r="B12" s="23" t="inlineStr">
        <is>
          <t>Устройство перекрытий</t>
        </is>
      </c>
      <c r="C12" s="23" t="inlineStr">
        <is>
          <t>Металлопрокат</t>
        </is>
      </c>
      <c r="D12" s="24" t="inlineStr">
        <is>
          <t>тонн</t>
        </is>
      </c>
      <c r="E12" s="25" t="n">
        <v>40000</v>
      </c>
      <c r="F12" s="25" t="n">
        <v>12</v>
      </c>
      <c r="G12" s="40">
        <f>E12*F12</f>
        <v/>
      </c>
      <c r="H12" s="27" t="n"/>
      <c r="I12" s="27" t="n"/>
      <c r="J12" s="27" t="n"/>
      <c r="K12" s="27">
        <f>IF(AND(I12&lt;&gt;"",J12&lt;&gt;""),I12-J12,"")</f>
        <v/>
      </c>
      <c r="L12" s="27">
        <f>IF(I12&lt;&gt;"",IF(H12&lt;&gt;"",H12*I12,E12*I12),"")</f>
        <v/>
      </c>
      <c r="M12" s="36" t="n">
        <v>0.2</v>
      </c>
    </row>
    <row r="13" ht="18" customHeight="1" s="21">
      <c r="A13" s="29" t="inlineStr">
        <is>
          <t>5. Кровля</t>
        </is>
      </c>
      <c r="B13" s="29" t="inlineStr">
        <is>
          <t>Стропильная система</t>
        </is>
      </c>
      <c r="C13" s="29" t="inlineStr">
        <is>
          <t>Доска обрезная 50мм</t>
        </is>
      </c>
      <c r="D13" s="30" t="inlineStr">
        <is>
          <t>м³</t>
        </is>
      </c>
      <c r="E13" s="31" t="n">
        <v>6500</v>
      </c>
      <c r="F13" s="31" t="n">
        <v>30</v>
      </c>
      <c r="G13" s="40">
        <f>E13*F13</f>
        <v/>
      </c>
      <c r="H13" s="27" t="n"/>
      <c r="I13" s="27" t="n"/>
      <c r="J13" s="27" t="n"/>
      <c r="K13" s="27">
        <f>IF(AND(I13&lt;&gt;"",J13&lt;&gt;""),I13-J13,"")</f>
        <v/>
      </c>
      <c r="L13" s="27">
        <f>IF(I13&lt;&gt;"",IF(H13&lt;&gt;"",H13*I13,E13*I13),"")</f>
        <v/>
      </c>
      <c r="M13" s="39" t="n">
        <v>0.2</v>
      </c>
    </row>
    <row r="14" ht="18" customHeight="1" s="21">
      <c r="A14" s="23" t="inlineStr">
        <is>
          <t>5. Кровля</t>
        </is>
      </c>
      <c r="B14" s="23" t="inlineStr">
        <is>
          <t>Кровельное покрытие</t>
        </is>
      </c>
      <c r="C14" s="23" t="inlineStr">
        <is>
          <t>Кровельные материалы</t>
        </is>
      </c>
      <c r="D14" s="24" t="inlineStr">
        <is>
          <t>м²</t>
        </is>
      </c>
      <c r="E14" s="25" t="n">
        <v>1200</v>
      </c>
      <c r="F14" s="25" t="n">
        <v>180</v>
      </c>
      <c r="G14" s="40">
        <f>E14*F14</f>
        <v/>
      </c>
      <c r="H14" s="27" t="n"/>
      <c r="I14" s="27" t="n"/>
      <c r="J14" s="27" t="n"/>
      <c r="K14" s="27">
        <f>IF(AND(I14&lt;&gt;"",J14&lt;&gt;""),I14-J14,"")</f>
        <v/>
      </c>
      <c r="L14" s="27">
        <f>IF(I14&lt;&gt;"",IF(H14&lt;&gt;"",H14*I14,E14*I14),"")</f>
        <v/>
      </c>
      <c r="M14" s="36" t="n">
        <v>0.2</v>
      </c>
    </row>
    <row r="15" ht="18" customHeight="1" s="21">
      <c r="A15" s="29" t="inlineStr">
        <is>
          <t>6. Фасад и окна</t>
        </is>
      </c>
      <c r="B15" s="29" t="inlineStr">
        <is>
          <t>Утепление и штукатурка фасада</t>
        </is>
      </c>
      <c r="C15" s="29" t="inlineStr">
        <is>
          <t>Утеплитель Пеноплекс</t>
        </is>
      </c>
      <c r="D15" s="30" t="inlineStr">
        <is>
          <t>м²</t>
        </is>
      </c>
      <c r="E15" s="31" t="n">
        <v>380</v>
      </c>
      <c r="F15" s="31" t="n">
        <v>600</v>
      </c>
      <c r="G15" s="40">
        <f>E15*F15</f>
        <v/>
      </c>
      <c r="H15" s="27" t="n"/>
      <c r="I15" s="27" t="n"/>
      <c r="J15" s="27" t="n"/>
      <c r="K15" s="27">
        <f>IF(AND(I15&lt;&gt;"",J15&lt;&gt;""),I15-J15,"")</f>
        <v/>
      </c>
      <c r="L15" s="27">
        <f>IF(I15&lt;&gt;"",IF(H15&lt;&gt;"",H15*I15,E15*I15),"")</f>
        <v/>
      </c>
      <c r="M15" s="39" t="n">
        <v>0.2</v>
      </c>
    </row>
    <row r="16" ht="18" customHeight="1" s="21">
      <c r="A16" s="23" t="inlineStr">
        <is>
          <t>7. Внутренняя отделка</t>
        </is>
      </c>
      <c r="B16" s="23" t="inlineStr">
        <is>
          <t>Чистовая отделка</t>
        </is>
      </c>
      <c r="C16" s="23" t="inlineStr">
        <is>
          <t>Крепёж и расходники</t>
        </is>
      </c>
      <c r="D16" s="24" t="inlineStr">
        <is>
          <t>—</t>
        </is>
      </c>
      <c r="E16" s="25" t="n">
        <v>80000</v>
      </c>
      <c r="F16" s="25" t="n">
        <v>1</v>
      </c>
      <c r="G16" s="40">
        <f>E16*F16</f>
        <v/>
      </c>
      <c r="H16" s="27" t="n"/>
      <c r="I16" s="27" t="n"/>
      <c r="J16" s="27" t="n"/>
      <c r="K16" s="27">
        <f>IF(AND(I16&lt;&gt;"",J16&lt;&gt;""),I16-J16,"")</f>
        <v/>
      </c>
      <c r="L16" s="27">
        <f>IF(I16&lt;&gt;"",IF(H16&lt;&gt;"",H16*I16,E16*I16),"")</f>
        <v/>
      </c>
      <c r="M16" s="36" t="n">
        <v>0.2</v>
      </c>
    </row>
    <row r="17" ht="18" customHeight="1" s="21">
      <c r="A17" s="29" t="inlineStr">
        <is>
          <t>2. Земляные работы</t>
        </is>
      </c>
      <c r="B17" s="29" t="inlineStr">
        <is>
          <t>Разработка котлована</t>
        </is>
      </c>
      <c r="C17" s="29" t="inlineStr">
        <is>
          <t>Топливо для техники</t>
        </is>
      </c>
      <c r="D17" s="30" t="inlineStr">
        <is>
          <t>л</t>
        </is>
      </c>
      <c r="E17" s="31" t="n">
        <v>60</v>
      </c>
      <c r="F17" s="31" t="n">
        <v>500</v>
      </c>
      <c r="G17" s="40">
        <f>E17*F17</f>
        <v/>
      </c>
      <c r="H17" s="27" t="n"/>
      <c r="I17" s="27" t="n"/>
      <c r="J17" s="27" t="n"/>
      <c r="K17" s="27">
        <f>IF(AND(I17&lt;&gt;"",J17&lt;&gt;""),I17-J17,"")</f>
        <v/>
      </c>
      <c r="L17" s="27">
        <f>IF(I17&lt;&gt;"",IF(H17&lt;&gt;"",H17*I17,E17*I17),"")</f>
        <v/>
      </c>
      <c r="M17" s="39" t="n">
        <v>0.2</v>
      </c>
    </row>
    <row r="18" ht="21.75" customHeight="1" s="21">
      <c r="A18" s="32" t="inlineStr">
        <is>
          <t>ИТОГО</t>
        </is>
      </c>
      <c r="B18" s="33" t="n"/>
      <c r="C18" s="33" t="n"/>
      <c r="D18" s="33" t="n"/>
      <c r="E18" s="33" t="n"/>
      <c r="F18" s="34" t="n"/>
      <c r="G18" s="35">
        <f>SUM(G2:G17)</f>
        <v/>
      </c>
      <c r="L18" s="35">
        <f>SUM(L2:L17)</f>
        <v/>
      </c>
    </row>
  </sheetData>
  <mergeCells count="1">
    <mergeCell ref="A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4B942"/>
    <outlinePr summaryBelow="1" summaryRight="1"/>
    <pageSetUpPr fitToPage="0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30" customWidth="1" style="20" min="2" max="2"/>
    <col width="24" customWidth="1" style="20" min="3" max="3"/>
    <col width="12" customWidth="1" style="20" min="4" max="4"/>
    <col width="13" customWidth="1" style="20" min="5" max="6"/>
    <col width="15" customWidth="1" style="20" min="7" max="7"/>
    <col width="13" customWidth="1" style="20" min="8" max="8"/>
    <col width="15" customWidth="1" style="20" min="9" max="9"/>
  </cols>
  <sheetData>
    <row r="1" ht="42" customHeight="1" s="21">
      <c r="A1" s="22" t="inlineStr">
        <is>
          <t>Этап</t>
        </is>
      </c>
      <c r="B1" s="22" t="inlineStr">
        <is>
          <t>Задача</t>
        </is>
      </c>
      <c r="C1" s="22" t="inlineStr">
        <is>
          <t>Специальность / бригада</t>
        </is>
      </c>
      <c r="D1" s="22" t="inlineStr">
        <is>
          <t>Кол-во чел.</t>
        </is>
      </c>
      <c r="E1" s="22" t="inlineStr">
        <is>
          <t>Ставка, ₽/час</t>
        </is>
      </c>
      <c r="F1" s="22" t="inlineStr">
        <is>
          <t>Ч-часов план</t>
        </is>
      </c>
      <c r="G1" s="22" t="inlineStr">
        <is>
          <t>ФОТ план, ₽</t>
        </is>
      </c>
      <c r="H1" s="22" t="inlineStr">
        <is>
          <t>Ч-часов факт</t>
        </is>
      </c>
      <c r="I1" s="22" t="inlineStr">
        <is>
          <t>ФОТ факт, ₽</t>
        </is>
      </c>
    </row>
    <row r="2" ht="18" customHeight="1" s="21">
      <c r="A2" s="23" t="inlineStr">
        <is>
          <t>1. Подготовительные работы</t>
        </is>
      </c>
      <c r="B2" s="23" t="inlineStr">
        <is>
          <t>Временные здания и сооружения</t>
        </is>
      </c>
      <c r="C2" s="23" t="inlineStr">
        <is>
          <t>Разнорабочие</t>
        </is>
      </c>
      <c r="D2" s="25" t="n">
        <v>2</v>
      </c>
      <c r="E2" s="25" t="n">
        <v>140</v>
      </c>
      <c r="F2" s="25" t="n">
        <v>80</v>
      </c>
      <c r="G2" s="41">
        <f>D2*E2*F2</f>
        <v/>
      </c>
      <c r="H2" s="27" t="n"/>
      <c r="I2" s="27">
        <f>IF(H2&lt;&gt;"",D2*E2*H2,"")</f>
        <v/>
      </c>
    </row>
    <row r="3" ht="18" customHeight="1" s="21">
      <c r="A3" s="29" t="inlineStr">
        <is>
          <t>1. Подготовительные работы</t>
        </is>
      </c>
      <c r="B3" s="29" t="inlineStr">
        <is>
          <t>Ограждение стройплощадки</t>
        </is>
      </c>
      <c r="C3" s="29" t="inlineStr">
        <is>
          <t>Разнорабочие</t>
        </is>
      </c>
      <c r="D3" s="31" t="n">
        <v>2</v>
      </c>
      <c r="E3" s="31" t="n">
        <v>140</v>
      </c>
      <c r="F3" s="31" t="n">
        <v>64</v>
      </c>
      <c r="G3" s="41">
        <f>D3*E3*F3</f>
        <v/>
      </c>
      <c r="H3" s="27" t="n"/>
      <c r="I3" s="27">
        <f>IF(H3&lt;&gt;"",D3*E3*H3,"")</f>
        <v/>
      </c>
    </row>
    <row r="4" ht="18" customHeight="1" s="21">
      <c r="A4" s="23" t="inlineStr">
        <is>
          <t>1. Подготовительные работы</t>
        </is>
      </c>
      <c r="B4" s="23" t="inlineStr">
        <is>
          <t>Подключение к коммуникациям</t>
        </is>
      </c>
      <c r="C4" s="23" t="inlineStr">
        <is>
          <t>Разнорабочие</t>
        </is>
      </c>
      <c r="D4" s="25" t="n">
        <v>2</v>
      </c>
      <c r="E4" s="25" t="n">
        <v>140</v>
      </c>
      <c r="F4" s="25" t="n">
        <v>80</v>
      </c>
      <c r="G4" s="41">
        <f>D4*E4*F4</f>
        <v/>
      </c>
      <c r="H4" s="27" t="n"/>
      <c r="I4" s="27">
        <f>IF(H4&lt;&gt;"",D4*E4*H4,"")</f>
        <v/>
      </c>
    </row>
    <row r="5" ht="18" customHeight="1" s="21">
      <c r="A5" s="29" t="inlineStr">
        <is>
          <t>2. Земляные работы</t>
        </is>
      </c>
      <c r="B5" s="29" t="inlineStr">
        <is>
          <t>Разработка котлована</t>
        </is>
      </c>
      <c r="C5" s="29" t="inlineStr">
        <is>
          <t>Разнорабочие</t>
        </is>
      </c>
      <c r="D5" s="31" t="n">
        <v>3</v>
      </c>
      <c r="E5" s="31" t="n">
        <v>140</v>
      </c>
      <c r="F5" s="31" t="n">
        <v>120</v>
      </c>
      <c r="G5" s="41">
        <f>D5*E5*F5</f>
        <v/>
      </c>
      <c r="H5" s="27" t="n"/>
      <c r="I5" s="27">
        <f>IF(H5&lt;&gt;"",D5*E5*H5,"")</f>
        <v/>
      </c>
    </row>
    <row r="6" ht="18" customHeight="1" s="21">
      <c r="A6" s="23" t="inlineStr">
        <is>
          <t>2. Земляные работы</t>
        </is>
      </c>
      <c r="B6" s="23" t="inlineStr">
        <is>
          <t>Планировка территории</t>
        </is>
      </c>
      <c r="C6" s="23" t="inlineStr">
        <is>
          <t>Разнорабочие</t>
        </is>
      </c>
      <c r="D6" s="25" t="n">
        <v>2</v>
      </c>
      <c r="E6" s="25" t="n">
        <v>140</v>
      </c>
      <c r="F6" s="25" t="n">
        <v>80</v>
      </c>
      <c r="G6" s="41">
        <f>D6*E6*F6</f>
        <v/>
      </c>
      <c r="H6" s="27" t="n"/>
      <c r="I6" s="27">
        <f>IF(H6&lt;&gt;"",D6*E6*H6,"")</f>
        <v/>
      </c>
    </row>
    <row r="7" ht="18" customHeight="1" s="21">
      <c r="A7" s="29" t="inlineStr">
        <is>
          <t>3. Фундамент</t>
        </is>
      </c>
      <c r="B7" s="29" t="inlineStr">
        <is>
          <t>Устройство подушки</t>
        </is>
      </c>
      <c r="C7" s="29" t="inlineStr">
        <is>
          <t>Разнорабочие</t>
        </is>
      </c>
      <c r="D7" s="31" t="n">
        <v>3</v>
      </c>
      <c r="E7" s="31" t="n">
        <v>140</v>
      </c>
      <c r="F7" s="31" t="n">
        <v>160</v>
      </c>
      <c r="G7" s="41">
        <f>D7*E7*F7</f>
        <v/>
      </c>
      <c r="H7" s="27" t="n"/>
      <c r="I7" s="27">
        <f>IF(H7&lt;&gt;"",D7*E7*H7,"")</f>
        <v/>
      </c>
    </row>
    <row r="8" ht="18" customHeight="1" s="21">
      <c r="A8" s="23" t="inlineStr">
        <is>
          <t>3. Фундамент</t>
        </is>
      </c>
      <c r="B8" s="23" t="inlineStr">
        <is>
          <t>Монолитный ростверк</t>
        </is>
      </c>
      <c r="C8" s="23" t="inlineStr">
        <is>
          <t>Бетонщики</t>
        </is>
      </c>
      <c r="D8" s="25" t="n">
        <v>2</v>
      </c>
      <c r="E8" s="25" t="n">
        <v>200</v>
      </c>
      <c r="F8" s="25" t="n">
        <v>320</v>
      </c>
      <c r="G8" s="41">
        <f>D8*E8*F8</f>
        <v/>
      </c>
      <c r="H8" s="27" t="n"/>
      <c r="I8" s="27">
        <f>IF(H8&lt;&gt;"",D8*E8*H8,"")</f>
        <v/>
      </c>
    </row>
    <row r="9" ht="18" customHeight="1" s="21">
      <c r="A9" s="29" t="inlineStr">
        <is>
          <t>3. Фундамент</t>
        </is>
      </c>
      <c r="B9" s="29" t="inlineStr">
        <is>
          <t>Монолитный ростверк</t>
        </is>
      </c>
      <c r="C9" s="29" t="inlineStr">
        <is>
          <t>Монолитчики (субп.)</t>
        </is>
      </c>
      <c r="D9" s="31" t="n">
        <v>3</v>
      </c>
      <c r="E9" s="31" t="n">
        <v>320</v>
      </c>
      <c r="F9" s="31" t="n">
        <v>240</v>
      </c>
      <c r="G9" s="41">
        <f>D9*E9*F9</f>
        <v/>
      </c>
      <c r="H9" s="27" t="n"/>
      <c r="I9" s="27">
        <f>IF(H9&lt;&gt;"",D9*E9*H9,"")</f>
        <v/>
      </c>
    </row>
    <row r="10" ht="18" customHeight="1" s="21">
      <c r="A10" s="23" t="inlineStr">
        <is>
          <t>3. Фундамент</t>
        </is>
      </c>
      <c r="B10" s="23" t="inlineStr">
        <is>
          <t>Гидроизоляция фундамента</t>
        </is>
      </c>
      <c r="C10" s="23" t="inlineStr">
        <is>
          <t>Разнорабочие</t>
        </is>
      </c>
      <c r="D10" s="25" t="n">
        <v>2</v>
      </c>
      <c r="E10" s="25" t="n">
        <v>140</v>
      </c>
      <c r="F10" s="25" t="n">
        <v>80</v>
      </c>
      <c r="G10" s="41">
        <f>D10*E10*F10</f>
        <v/>
      </c>
      <c r="H10" s="27" t="n"/>
      <c r="I10" s="27">
        <f>IF(H10&lt;&gt;"",D10*E10*H10,"")</f>
        <v/>
      </c>
    </row>
    <row r="11" ht="18" customHeight="1" s="21">
      <c r="A11" s="29" t="inlineStr">
        <is>
          <t>4. Стены и перекрытия</t>
        </is>
      </c>
      <c r="B11" s="29" t="inlineStr">
        <is>
          <t>Кладка стен 1-го этажа</t>
        </is>
      </c>
      <c r="C11" s="29" t="inlineStr">
        <is>
          <t>Каменщики</t>
        </is>
      </c>
      <c r="D11" s="31" t="n">
        <v>4</v>
      </c>
      <c r="E11" s="31" t="n">
        <v>220</v>
      </c>
      <c r="F11" s="31" t="n">
        <v>480</v>
      </c>
      <c r="G11" s="41">
        <f>D11*E11*F11</f>
        <v/>
      </c>
      <c r="H11" s="27" t="n"/>
      <c r="I11" s="27">
        <f>IF(H11&lt;&gt;"",D11*E11*H11,"")</f>
        <v/>
      </c>
    </row>
    <row r="12" ht="18" customHeight="1" s="21">
      <c r="A12" s="23" t="inlineStr">
        <is>
          <t>4. Стены и перекрытия</t>
        </is>
      </c>
      <c r="B12" s="23" t="inlineStr">
        <is>
          <t>Кладка стен 2-го этажа</t>
        </is>
      </c>
      <c r="C12" s="23" t="inlineStr">
        <is>
          <t>Каменщики</t>
        </is>
      </c>
      <c r="D12" s="25" t="n">
        <v>4</v>
      </c>
      <c r="E12" s="25" t="n">
        <v>220</v>
      </c>
      <c r="F12" s="25" t="n">
        <v>480</v>
      </c>
      <c r="G12" s="41">
        <f>D12*E12*F12</f>
        <v/>
      </c>
      <c r="H12" s="27" t="n"/>
      <c r="I12" s="27">
        <f>IF(H12&lt;&gt;"",D12*E12*H12,"")</f>
        <v/>
      </c>
    </row>
    <row r="13" ht="18" customHeight="1" s="21">
      <c r="A13" s="29" t="inlineStr">
        <is>
          <t>4. Стены и перекрытия</t>
        </is>
      </c>
      <c r="B13" s="29" t="inlineStr">
        <is>
          <t>Устройство перекрытий</t>
        </is>
      </c>
      <c r="C13" s="29" t="inlineStr">
        <is>
          <t>Сварщик (субп.)</t>
        </is>
      </c>
      <c r="D13" s="31" t="n">
        <v>1</v>
      </c>
      <c r="E13" s="31" t="n">
        <v>350</v>
      </c>
      <c r="F13" s="31" t="n">
        <v>160</v>
      </c>
      <c r="G13" s="41">
        <f>D13*E13*F13</f>
        <v/>
      </c>
      <c r="H13" s="27" t="n"/>
      <c r="I13" s="27">
        <f>IF(H13&lt;&gt;"",D13*E13*H13,"")</f>
        <v/>
      </c>
    </row>
    <row r="14" ht="18" customHeight="1" s="21">
      <c r="A14" s="23" t="inlineStr">
        <is>
          <t>5. Кровля</t>
        </is>
      </c>
      <c r="B14" s="23" t="inlineStr">
        <is>
          <t>Стропильная система</t>
        </is>
      </c>
      <c r="C14" s="23" t="inlineStr">
        <is>
          <t>Разнорабочие</t>
        </is>
      </c>
      <c r="D14" s="25" t="n">
        <v>2</v>
      </c>
      <c r="E14" s="25" t="n">
        <v>140</v>
      </c>
      <c r="F14" s="25" t="n">
        <v>160</v>
      </c>
      <c r="G14" s="41">
        <f>D14*E14*F14</f>
        <v/>
      </c>
      <c r="H14" s="27" t="n"/>
      <c r="I14" s="27">
        <f>IF(H14&lt;&gt;"",D14*E14*H14,"")</f>
        <v/>
      </c>
    </row>
    <row r="15" ht="18" customHeight="1" s="21">
      <c r="A15" s="29" t="inlineStr">
        <is>
          <t>5. Кровля</t>
        </is>
      </c>
      <c r="B15" s="29" t="inlineStr">
        <is>
          <t>Кровельное покрытие</t>
        </is>
      </c>
      <c r="C15" s="29" t="inlineStr">
        <is>
          <t>Кровельщики (субп.)</t>
        </is>
      </c>
      <c r="D15" s="31" t="n">
        <v>2</v>
      </c>
      <c r="E15" s="31" t="n">
        <v>240</v>
      </c>
      <c r="F15" s="31" t="n">
        <v>160</v>
      </c>
      <c r="G15" s="41">
        <f>D15*E15*F15</f>
        <v/>
      </c>
      <c r="H15" s="27" t="n"/>
      <c r="I15" s="27">
        <f>IF(H15&lt;&gt;"",D15*E15*H15,"")</f>
        <v/>
      </c>
    </row>
    <row r="16" ht="18" customHeight="1" s="21">
      <c r="A16" s="23" t="inlineStr">
        <is>
          <t>7. Внутренняя отделка</t>
        </is>
      </c>
      <c r="B16" s="23" t="inlineStr">
        <is>
          <t>Черновые полы / штукатурка</t>
        </is>
      </c>
      <c r="C16" s="23" t="inlineStr">
        <is>
          <t>Разнорабочие</t>
        </is>
      </c>
      <c r="D16" s="25" t="n">
        <v>3</v>
      </c>
      <c r="E16" s="25" t="n">
        <v>140</v>
      </c>
      <c r="F16" s="25" t="n">
        <v>320</v>
      </c>
      <c r="G16" s="41">
        <f>D16*E16*F16</f>
        <v/>
      </c>
      <c r="H16" s="27" t="n"/>
      <c r="I16" s="27">
        <f>IF(H16&lt;&gt;"",D16*E16*H16,"")</f>
        <v/>
      </c>
    </row>
    <row r="17" ht="18" customHeight="1" s="21">
      <c r="A17" s="29" t="inlineStr">
        <is>
          <t>7. Внутренняя отделка</t>
        </is>
      </c>
      <c r="B17" s="29" t="inlineStr">
        <is>
          <t>Чистовая отделка</t>
        </is>
      </c>
      <c r="C17" s="29" t="inlineStr">
        <is>
          <t>Разнорабочие</t>
        </is>
      </c>
      <c r="D17" s="31" t="n">
        <v>3</v>
      </c>
      <c r="E17" s="31" t="n">
        <v>140</v>
      </c>
      <c r="F17" s="31" t="n">
        <v>320</v>
      </c>
      <c r="G17" s="41">
        <f>D17*E17*F17</f>
        <v/>
      </c>
      <c r="H17" s="27" t="n"/>
      <c r="I17" s="27">
        <f>IF(H17&lt;&gt;"",D17*E17*H17,"")</f>
        <v/>
      </c>
    </row>
    <row r="18" ht="18" customHeight="1" s="21">
      <c r="A18" s="23" t="inlineStr">
        <is>
          <t>8. Инженерные системы</t>
        </is>
      </c>
      <c r="B18" s="23" t="inlineStr">
        <is>
          <t>Электромонтаж</t>
        </is>
      </c>
      <c r="C18" s="23" t="inlineStr">
        <is>
          <t>Электрики (субп.)</t>
        </is>
      </c>
      <c r="D18" s="25" t="n">
        <v>2</v>
      </c>
      <c r="E18" s="25" t="n">
        <v>280</v>
      </c>
      <c r="F18" s="25" t="n">
        <v>320</v>
      </c>
      <c r="G18" s="41">
        <f>D18*E18*F18</f>
        <v/>
      </c>
      <c r="H18" s="27" t="n"/>
      <c r="I18" s="27">
        <f>IF(H18&lt;&gt;"",D18*E18*H18,"")</f>
        <v/>
      </c>
    </row>
    <row r="19" ht="18" customHeight="1" s="21">
      <c r="A19" s="29" t="inlineStr">
        <is>
          <t>8. Инженерные системы</t>
        </is>
      </c>
      <c r="B19" s="29" t="inlineStr">
        <is>
          <t>Сантехника</t>
        </is>
      </c>
      <c r="C19" s="29" t="inlineStr">
        <is>
          <t>Сантехники (субп.)</t>
        </is>
      </c>
      <c r="D19" s="31" t="n">
        <v>2</v>
      </c>
      <c r="E19" s="31" t="n">
        <v>260</v>
      </c>
      <c r="F19" s="31" t="n">
        <v>300</v>
      </c>
      <c r="G19" s="41">
        <f>D19*E19*F19</f>
        <v/>
      </c>
      <c r="H19" s="27" t="n"/>
      <c r="I19" s="27">
        <f>IF(H19&lt;&gt;"",D19*E19*H19,"")</f>
        <v/>
      </c>
    </row>
    <row r="20" ht="18" customHeight="1" s="21">
      <c r="A20" s="23" t="inlineStr">
        <is>
          <t>8. Инженерные системы</t>
        </is>
      </c>
      <c r="B20" s="23" t="inlineStr">
        <is>
          <t>Вентиляция</t>
        </is>
      </c>
      <c r="C20" s="23" t="inlineStr">
        <is>
          <t>Разнорабочие</t>
        </is>
      </c>
      <c r="D20" s="25" t="n">
        <v>2</v>
      </c>
      <c r="E20" s="25" t="n">
        <v>140</v>
      </c>
      <c r="F20" s="25" t="n">
        <v>160</v>
      </c>
      <c r="G20" s="41">
        <f>D20*E20*F20</f>
        <v/>
      </c>
      <c r="H20" s="27" t="n"/>
      <c r="I20" s="27">
        <f>IF(H20&lt;&gt;"",D20*E20*H20,"")</f>
        <v/>
      </c>
    </row>
    <row r="21" ht="18" customHeight="1" s="21">
      <c r="A21" s="29" t="inlineStr">
        <is>
          <t>9. Благоустройство</t>
        </is>
      </c>
      <c r="B21" s="29" t="inlineStr">
        <is>
          <t>Отмостка</t>
        </is>
      </c>
      <c r="C21" s="29" t="inlineStr">
        <is>
          <t>Разнорабочие</t>
        </is>
      </c>
      <c r="D21" s="31" t="n">
        <v>2</v>
      </c>
      <c r="E21" s="31" t="n">
        <v>140</v>
      </c>
      <c r="F21" s="31" t="n">
        <v>80</v>
      </c>
      <c r="G21" s="41">
        <f>D21*E21*F21</f>
        <v/>
      </c>
      <c r="H21" s="27" t="n"/>
      <c r="I21" s="27">
        <f>IF(H21&lt;&gt;"",D21*E21*H21,"")</f>
        <v/>
      </c>
    </row>
    <row r="22" ht="18" customHeight="1" s="21">
      <c r="A22" s="23" t="inlineStr">
        <is>
          <t>9. Благоустройство</t>
        </is>
      </c>
      <c r="B22" s="23" t="inlineStr">
        <is>
          <t>Озеленение и дорожки</t>
        </is>
      </c>
      <c r="C22" s="23" t="inlineStr">
        <is>
          <t>Разнорабочие</t>
        </is>
      </c>
      <c r="D22" s="25" t="n">
        <v>2</v>
      </c>
      <c r="E22" s="25" t="n">
        <v>140</v>
      </c>
      <c r="F22" s="25" t="n">
        <v>96</v>
      </c>
      <c r="G22" s="41">
        <f>D22*E22*F22</f>
        <v/>
      </c>
      <c r="H22" s="27" t="n"/>
      <c r="I22" s="27">
        <f>IF(H22&lt;&gt;"",D22*E22*H22,"")</f>
        <v/>
      </c>
    </row>
    <row r="23" ht="18" customHeight="1" s="21">
      <c r="A23" s="29" t="inlineStr">
        <is>
          <t>Весь проект</t>
        </is>
      </c>
      <c r="B23" s="29" t="inlineStr">
        <is>
          <t>Управление</t>
        </is>
      </c>
      <c r="C23" s="29" t="inlineStr">
        <is>
          <t>Прораб</t>
        </is>
      </c>
      <c r="D23" s="31" t="n">
        <v>1</v>
      </c>
      <c r="E23" s="31" t="n">
        <v>500</v>
      </c>
      <c r="F23" s="31" t="n">
        <v>840</v>
      </c>
      <c r="G23" s="41">
        <f>D23*E23*F23</f>
        <v/>
      </c>
      <c r="H23" s="27" t="n"/>
      <c r="I23" s="27">
        <f>IF(H23&lt;&gt;"",D23*E23*H23,"")</f>
        <v/>
      </c>
    </row>
    <row r="24" ht="21.75" customHeight="1" s="21">
      <c r="A24" s="32" t="inlineStr">
        <is>
          <t>ИТОГО</t>
        </is>
      </c>
      <c r="B24" s="33" t="n"/>
      <c r="C24" s="33" t="n"/>
      <c r="D24" s="33" t="n"/>
      <c r="E24" s="33" t="n"/>
      <c r="F24" s="34" t="n"/>
      <c r="G24" s="35">
        <f>SUM(G2:G23)</f>
        <v/>
      </c>
      <c r="I24" s="35">
        <f>SUM(I2:I23)</f>
        <v/>
      </c>
    </row>
  </sheetData>
  <mergeCells count="1">
    <mergeCell ref="A24:F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30" customWidth="1" style="20" min="2" max="2"/>
    <col width="26" customWidth="1" style="20" min="3" max="3"/>
    <col width="12" customWidth="1" style="20" min="4" max="4"/>
    <col width="13" customWidth="1" style="20" min="5" max="6"/>
    <col width="15" customWidth="1" style="20" min="7" max="7"/>
    <col width="13" customWidth="1" style="20" min="8" max="8"/>
    <col width="15" customWidth="1" style="20" min="9" max="9"/>
  </cols>
  <sheetData>
    <row r="1" ht="42" customHeight="1" s="21">
      <c r="A1" s="22" t="inlineStr">
        <is>
          <t>Этап</t>
        </is>
      </c>
      <c r="B1" s="22" t="inlineStr">
        <is>
          <t>Задача</t>
        </is>
      </c>
      <c r="C1" s="22" t="inlineStr">
        <is>
          <t>Техника</t>
        </is>
      </c>
      <c r="D1" s="22" t="inlineStr">
        <is>
          <t>Кол-во ед.</t>
        </is>
      </c>
      <c r="E1" s="22" t="inlineStr">
        <is>
          <t>Цена, ₽/час</t>
        </is>
      </c>
      <c r="F1" s="22" t="inlineStr">
        <is>
          <t>Часов план</t>
        </is>
      </c>
      <c r="G1" s="22" t="inlineStr">
        <is>
          <t>Итого план, ₽</t>
        </is>
      </c>
      <c r="H1" s="22" t="inlineStr">
        <is>
          <t>Часов факт</t>
        </is>
      </c>
      <c r="I1" s="22" t="inlineStr">
        <is>
          <t>Итого факт, ₽</t>
        </is>
      </c>
    </row>
    <row r="2" ht="18" customHeight="1" s="21">
      <c r="A2" s="23" t="inlineStr">
        <is>
          <t>2. Земляные работы</t>
        </is>
      </c>
      <c r="B2" s="23" t="inlineStr">
        <is>
          <t>Разработка котлована</t>
        </is>
      </c>
      <c r="C2" s="23" t="inlineStr">
        <is>
          <t>Экскаватор</t>
        </is>
      </c>
      <c r="D2" s="25" t="n">
        <v>1</v>
      </c>
      <c r="E2" s="25" t="n">
        <v>2500</v>
      </c>
      <c r="F2" s="25" t="n">
        <v>120</v>
      </c>
      <c r="G2" s="42">
        <f>D2*E2*F2</f>
        <v/>
      </c>
      <c r="H2" s="27" t="n"/>
      <c r="I2" s="27">
        <f>IF(H2&lt;&gt;"",D2*E2*H2,"")</f>
        <v/>
      </c>
    </row>
    <row r="3" ht="18" customHeight="1" s="21">
      <c r="A3" s="29" t="inlineStr">
        <is>
          <t>2. Земляные работы</t>
        </is>
      </c>
      <c r="B3" s="29" t="inlineStr">
        <is>
          <t>Разработка котлована</t>
        </is>
      </c>
      <c r="C3" s="29" t="inlineStr">
        <is>
          <t>Самосвал 20т</t>
        </is>
      </c>
      <c r="D3" s="31" t="n">
        <v>2</v>
      </c>
      <c r="E3" s="31" t="n">
        <v>1800</v>
      </c>
      <c r="F3" s="31" t="n">
        <v>80</v>
      </c>
      <c r="G3" s="42">
        <f>D3*E3*F3</f>
        <v/>
      </c>
      <c r="H3" s="27" t="n"/>
      <c r="I3" s="27">
        <f>IF(H3&lt;&gt;"",D3*E3*H3,"")</f>
        <v/>
      </c>
    </row>
    <row r="4" ht="18" customHeight="1" s="21">
      <c r="A4" s="23" t="inlineStr">
        <is>
          <t>2. Земляные работы</t>
        </is>
      </c>
      <c r="B4" s="23" t="inlineStr">
        <is>
          <t>Планировка территории</t>
        </is>
      </c>
      <c r="C4" s="23" t="inlineStr">
        <is>
          <t>Бульдозер</t>
        </is>
      </c>
      <c r="D4" s="25" t="n">
        <v>1</v>
      </c>
      <c r="E4" s="25" t="n">
        <v>2200</v>
      </c>
      <c r="F4" s="25" t="n">
        <v>40</v>
      </c>
      <c r="G4" s="42">
        <f>D4*E4*F4</f>
        <v/>
      </c>
      <c r="H4" s="27" t="n"/>
      <c r="I4" s="27">
        <f>IF(H4&lt;&gt;"",D4*E4*H4,"")</f>
        <v/>
      </c>
    </row>
    <row r="5" ht="18" customHeight="1" s="21">
      <c r="A5" s="29" t="inlineStr">
        <is>
          <t>3. Фундамент</t>
        </is>
      </c>
      <c r="B5" s="29" t="inlineStr">
        <is>
          <t>Устройство подушки</t>
        </is>
      </c>
      <c r="C5" s="29" t="inlineStr">
        <is>
          <t>Виброплита</t>
        </is>
      </c>
      <c r="D5" s="31" t="n">
        <v>1</v>
      </c>
      <c r="E5" s="31" t="n">
        <v>600</v>
      </c>
      <c r="F5" s="31" t="n">
        <v>40</v>
      </c>
      <c r="G5" s="42">
        <f>D5*E5*F5</f>
        <v/>
      </c>
      <c r="H5" s="27" t="n"/>
      <c r="I5" s="27">
        <f>IF(H5&lt;&gt;"",D5*E5*H5,"")</f>
        <v/>
      </c>
    </row>
    <row r="6" ht="18" customHeight="1" s="21">
      <c r="A6" s="23" t="inlineStr">
        <is>
          <t>3. Фундамент</t>
        </is>
      </c>
      <c r="B6" s="23" t="inlineStr">
        <is>
          <t>Монолитный ростверк</t>
        </is>
      </c>
      <c r="C6" s="23" t="inlineStr">
        <is>
          <t>Автобетоносмеситель</t>
        </is>
      </c>
      <c r="D6" s="25" t="n">
        <v>2</v>
      </c>
      <c r="E6" s="25" t="n">
        <v>2000</v>
      </c>
      <c r="F6" s="25" t="n">
        <v>60</v>
      </c>
      <c r="G6" s="42">
        <f>D6*E6*F6</f>
        <v/>
      </c>
      <c r="H6" s="27" t="n"/>
      <c r="I6" s="27">
        <f>IF(H6&lt;&gt;"",D6*E6*H6,"")</f>
        <v/>
      </c>
    </row>
    <row r="7" ht="18" customHeight="1" s="21">
      <c r="A7" s="29" t="inlineStr">
        <is>
          <t>3. Фундамент</t>
        </is>
      </c>
      <c r="B7" s="29" t="inlineStr">
        <is>
          <t>Монолитный ростверк</t>
        </is>
      </c>
      <c r="C7" s="29" t="inlineStr">
        <is>
          <t>Автобетононасос</t>
        </is>
      </c>
      <c r="D7" s="31" t="n">
        <v>1</v>
      </c>
      <c r="E7" s="31" t="n">
        <v>3500</v>
      </c>
      <c r="F7" s="31" t="n">
        <v>40</v>
      </c>
      <c r="G7" s="42">
        <f>D7*E7*F7</f>
        <v/>
      </c>
      <c r="H7" s="27" t="n"/>
      <c r="I7" s="27">
        <f>IF(H7&lt;&gt;"",D7*E7*H7,"")</f>
        <v/>
      </c>
    </row>
    <row r="8" ht="18" customHeight="1" s="21">
      <c r="A8" s="23" t="inlineStr">
        <is>
          <t>3. Фундамент</t>
        </is>
      </c>
      <c r="B8" s="23" t="inlineStr">
        <is>
          <t>Монолитный ростверк</t>
        </is>
      </c>
      <c r="C8" s="23" t="inlineStr">
        <is>
          <t>Кран башенный</t>
        </is>
      </c>
      <c r="D8" s="25" t="n">
        <v>1</v>
      </c>
      <c r="E8" s="25" t="n">
        <v>4000</v>
      </c>
      <c r="F8" s="25" t="n">
        <v>80</v>
      </c>
      <c r="G8" s="42">
        <f>D8*E8*F8</f>
        <v/>
      </c>
      <c r="H8" s="27" t="n"/>
      <c r="I8" s="27">
        <f>IF(H8&lt;&gt;"",D8*E8*H8,"")</f>
        <v/>
      </c>
    </row>
    <row r="9" ht="18" customHeight="1" s="21">
      <c r="A9" s="29" t="inlineStr">
        <is>
          <t>4. Стены и перекрытия</t>
        </is>
      </c>
      <c r="B9" s="29" t="inlineStr">
        <is>
          <t>Кладка стен 1-го этажа</t>
        </is>
      </c>
      <c r="C9" s="29" t="inlineStr">
        <is>
          <t>Кран башенный</t>
        </is>
      </c>
      <c r="D9" s="31" t="n">
        <v>1</v>
      </c>
      <c r="E9" s="31" t="n">
        <v>4000</v>
      </c>
      <c r="F9" s="31" t="n">
        <v>80</v>
      </c>
      <c r="G9" s="42">
        <f>D9*E9*F9</f>
        <v/>
      </c>
      <c r="H9" s="27" t="n"/>
      <c r="I9" s="27">
        <f>IF(H9&lt;&gt;"",D9*E9*H9,"")</f>
        <v/>
      </c>
    </row>
    <row r="10" ht="18" customHeight="1" s="21">
      <c r="A10" s="23" t="inlineStr">
        <is>
          <t>4. Стены и перекрытия</t>
        </is>
      </c>
      <c r="B10" s="23" t="inlineStr">
        <is>
          <t>Кладка стен 2-го этажа</t>
        </is>
      </c>
      <c r="C10" s="23" t="inlineStr">
        <is>
          <t>Кран башенный</t>
        </is>
      </c>
      <c r="D10" s="25" t="n">
        <v>1</v>
      </c>
      <c r="E10" s="25" t="n">
        <v>4000</v>
      </c>
      <c r="F10" s="25" t="n">
        <v>80</v>
      </c>
      <c r="G10" s="42">
        <f>D10*E10*F10</f>
        <v/>
      </c>
      <c r="H10" s="27" t="n"/>
      <c r="I10" s="27">
        <f>IF(H10&lt;&gt;"",D10*E10*H10,"")</f>
        <v/>
      </c>
    </row>
    <row r="11" ht="18" customHeight="1" s="21">
      <c r="A11" s="29" t="inlineStr">
        <is>
          <t>4. Стены и перекрытия</t>
        </is>
      </c>
      <c r="B11" s="29" t="inlineStr">
        <is>
          <t>Устройство перекрытий</t>
        </is>
      </c>
      <c r="C11" s="29" t="inlineStr">
        <is>
          <t>Автобетоносмеситель</t>
        </is>
      </c>
      <c r="D11" s="31" t="n">
        <v>2</v>
      </c>
      <c r="E11" s="31" t="n">
        <v>2000</v>
      </c>
      <c r="F11" s="31" t="n">
        <v>40</v>
      </c>
      <c r="G11" s="42">
        <f>D11*E11*F11</f>
        <v/>
      </c>
      <c r="H11" s="27" t="n"/>
      <c r="I11" s="27">
        <f>IF(H11&lt;&gt;"",D11*E11*H11,"")</f>
        <v/>
      </c>
    </row>
    <row r="12" ht="18" customHeight="1" s="21">
      <c r="A12" s="23" t="inlineStr">
        <is>
          <t>5. Кровля</t>
        </is>
      </c>
      <c r="B12" s="23" t="inlineStr">
        <is>
          <t>Стропильная система</t>
        </is>
      </c>
      <c r="C12" s="23" t="inlineStr">
        <is>
          <t>Кран-манипулятор</t>
        </is>
      </c>
      <c r="D12" s="25" t="n">
        <v>1</v>
      </c>
      <c r="E12" s="25" t="n">
        <v>3000</v>
      </c>
      <c r="F12" s="25" t="n">
        <v>24</v>
      </c>
      <c r="G12" s="42">
        <f>D12*E12*F12</f>
        <v/>
      </c>
      <c r="H12" s="27" t="n"/>
      <c r="I12" s="27">
        <f>IF(H12&lt;&gt;"",D12*E12*H12,"")</f>
        <v/>
      </c>
    </row>
    <row r="13" ht="18" customHeight="1" s="21">
      <c r="A13" s="29" t="inlineStr">
        <is>
          <t>6. Фасад и окна</t>
        </is>
      </c>
      <c r="B13" s="29" t="inlineStr">
        <is>
          <t>Утепление и штукатурка фасада</t>
        </is>
      </c>
      <c r="C13" s="29" t="inlineStr">
        <is>
          <t>Подъёмник фасадный</t>
        </is>
      </c>
      <c r="D13" s="31" t="n">
        <v>1</v>
      </c>
      <c r="E13" s="31" t="n">
        <v>1200</v>
      </c>
      <c r="F13" s="31" t="n">
        <v>80</v>
      </c>
      <c r="G13" s="42">
        <f>D13*E13*F13</f>
        <v/>
      </c>
      <c r="H13" s="27" t="n"/>
      <c r="I13" s="27">
        <f>IF(H13&lt;&gt;"",D13*E13*H13,"")</f>
        <v/>
      </c>
    </row>
    <row r="14" ht="18" customHeight="1" s="21">
      <c r="A14" s="23" t="inlineStr">
        <is>
          <t>9. Благоустройство</t>
        </is>
      </c>
      <c r="B14" s="23" t="inlineStr">
        <is>
          <t>Отмостка</t>
        </is>
      </c>
      <c r="C14" s="23" t="inlineStr">
        <is>
          <t>Виброплита</t>
        </is>
      </c>
      <c r="D14" s="25" t="n">
        <v>1</v>
      </c>
      <c r="E14" s="25" t="n">
        <v>600</v>
      </c>
      <c r="F14" s="25" t="n">
        <v>16</v>
      </c>
      <c r="G14" s="42">
        <f>D14*E14*F14</f>
        <v/>
      </c>
      <c r="H14" s="27" t="n"/>
      <c r="I14" s="27">
        <f>IF(H14&lt;&gt;"",D14*E14*H14,"")</f>
        <v/>
      </c>
    </row>
    <row r="15" ht="18" customHeight="1" s="21">
      <c r="A15" s="29" t="inlineStr">
        <is>
          <t>9. Благоустройство</t>
        </is>
      </c>
      <c r="B15" s="29" t="inlineStr">
        <is>
          <t>Озеленение и дорожки</t>
        </is>
      </c>
      <c r="C15" s="29" t="inlineStr">
        <is>
          <t>Мини-погрузчик</t>
        </is>
      </c>
      <c r="D15" s="31" t="n">
        <v>1</v>
      </c>
      <c r="E15" s="31" t="n">
        <v>1500</v>
      </c>
      <c r="F15" s="31" t="n">
        <v>24</v>
      </c>
      <c r="G15" s="42">
        <f>D15*E15*F15</f>
        <v/>
      </c>
      <c r="H15" s="27" t="n"/>
      <c r="I15" s="27">
        <f>IF(H15&lt;&gt;"",D15*E15*H15,"")</f>
        <v/>
      </c>
    </row>
    <row r="16" ht="21.75" customHeight="1" s="21">
      <c r="A16" s="32" t="inlineStr">
        <is>
          <t>ИТОГО</t>
        </is>
      </c>
      <c r="B16" s="33" t="n"/>
      <c r="C16" s="33" t="n"/>
      <c r="D16" s="33" t="n"/>
      <c r="E16" s="33" t="n"/>
      <c r="F16" s="34" t="n"/>
      <c r="G16" s="35">
        <f>SUM(G2:G15)</f>
        <v/>
      </c>
      <c r="I16" s="35">
        <f>SUM(I2:I15)</f>
        <v/>
      </c>
    </row>
  </sheetData>
  <mergeCells count="1">
    <mergeCell ref="A16:F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21" min="1" max="1"/>
    <col width="38" customWidth="1" style="21" min="2" max="2"/>
    <col width="30" customWidth="1" style="21" min="3" max="3"/>
    <col width="38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2" customWidth="1" style="21" min="9" max="9"/>
    <col width="18" customWidth="1" style="21" min="10" max="10"/>
  </cols>
  <sheetData>
    <row r="1" ht="30" customHeight="1" s="21">
      <c r="A1" s="49" t="inlineStr">
        <is>
          <t>№</t>
        </is>
      </c>
      <c r="B1" s="49" t="inlineStr">
        <is>
          <t>Название</t>
        </is>
      </c>
      <c r="C1" s="49" t="inlineStr">
        <is>
          <t>Этап</t>
        </is>
      </c>
      <c r="D1" s="49" t="inlineStr">
        <is>
          <t>Задача</t>
        </is>
      </c>
      <c r="E1" s="49" t="inlineStr">
        <is>
          <t>Дата нач. план</t>
        </is>
      </c>
      <c r="F1" s="49" t="inlineStr">
        <is>
          <t>Дата ок. план</t>
        </is>
      </c>
      <c r="G1" s="49" t="inlineStr">
        <is>
          <t>Дата нач. факт</t>
        </is>
      </c>
      <c r="H1" s="49" t="inlineStr">
        <is>
          <t>Дата ок. факт</t>
        </is>
      </c>
      <c r="I1" s="49" t="inlineStr">
        <is>
          <t>Статус</t>
        </is>
      </c>
      <c r="J1" s="49" t="inlineStr">
        <is>
          <t>Bitrix Subtask ID</t>
        </is>
      </c>
    </row>
    <row r="2">
      <c r="A2" s="50" t="n">
        <v>1</v>
      </c>
      <c r="B2" s="51" t="inlineStr">
        <is>
          <t>Разметка площадки под ВЗС</t>
        </is>
      </c>
      <c r="C2" s="51" t="inlineStr">
        <is>
          <t>1. Подготовительные работы</t>
        </is>
      </c>
      <c r="D2" s="51" t="inlineStr">
        <is>
          <t>Временные здания и сооружения</t>
        </is>
      </c>
      <c r="E2" s="52" t="n">
        <v>46174</v>
      </c>
      <c r="F2" s="52" t="n">
        <v>46175</v>
      </c>
      <c r="G2" s="51" t="n"/>
      <c r="H2" s="51" t="n"/>
      <c r="I2" s="50" t="inlineStr">
        <is>
          <t>Новая</t>
        </is>
      </c>
      <c r="J2" s="50" t="n"/>
    </row>
    <row r="3">
      <c r="A3" s="53" t="n">
        <v>2</v>
      </c>
      <c r="B3" s="54" t="inlineStr">
        <is>
          <t>Монтаж бытовок и туалетов</t>
        </is>
      </c>
      <c r="C3" s="54" t="inlineStr">
        <is>
          <t>1. Подготовительные работы</t>
        </is>
      </c>
      <c r="D3" s="54" t="inlineStr">
        <is>
          <t>Временные здания и сооружения</t>
        </is>
      </c>
      <c r="E3" s="55" t="n">
        <v>46175</v>
      </c>
      <c r="F3" s="55" t="n">
        <v>46178</v>
      </c>
      <c r="G3" s="54" t="n"/>
      <c r="H3" s="54" t="n"/>
      <c r="I3" s="53" t="inlineStr">
        <is>
          <t>Новая</t>
        </is>
      </c>
      <c r="J3" s="53" t="n"/>
    </row>
    <row r="4">
      <c r="A4" s="50" t="n">
        <v>3</v>
      </c>
      <c r="B4" s="51" t="inlineStr">
        <is>
          <t>Подключение электроснабжения ВЗС</t>
        </is>
      </c>
      <c r="C4" s="51" t="inlineStr">
        <is>
          <t>1. Подготовительные работы</t>
        </is>
      </c>
      <c r="D4" s="51" t="inlineStr">
        <is>
          <t>Временные здания и сооружения</t>
        </is>
      </c>
      <c r="E4" s="52" t="n">
        <v>46178</v>
      </c>
      <c r="F4" s="52" t="n">
        <v>46180</v>
      </c>
      <c r="G4" s="51" t="n"/>
      <c r="H4" s="51" t="n"/>
      <c r="I4" s="50" t="inlineStr">
        <is>
          <t>Новая</t>
        </is>
      </c>
      <c r="J4" s="50" t="n"/>
    </row>
    <row r="5">
      <c r="A5" s="53" t="n">
        <v>1</v>
      </c>
      <c r="B5" s="54" t="inlineStr">
        <is>
          <t>Установка столбов ограждения</t>
        </is>
      </c>
      <c r="C5" s="54" t="inlineStr">
        <is>
          <t>1. Подготовительные работы</t>
        </is>
      </c>
      <c r="D5" s="54" t="inlineStr">
        <is>
          <t>Ограждение стройплощадки</t>
        </is>
      </c>
      <c r="E5" s="55" t="n">
        <v>46174</v>
      </c>
      <c r="F5" s="55" t="n">
        <v>46176</v>
      </c>
      <c r="G5" s="54" t="n"/>
      <c r="H5" s="54" t="n"/>
      <c r="I5" s="53" t="inlineStr">
        <is>
          <t>Новая</t>
        </is>
      </c>
      <c r="J5" s="53" t="n"/>
    </row>
    <row r="6">
      <c r="A6" s="50" t="n">
        <v>2</v>
      </c>
      <c r="B6" s="51" t="inlineStr">
        <is>
          <t>Монтаж секций заборного ограждения</t>
        </is>
      </c>
      <c r="C6" s="51" t="inlineStr">
        <is>
          <t>1. Подготовительные работы</t>
        </is>
      </c>
      <c r="D6" s="51" t="inlineStr">
        <is>
          <t>Ограждение стройплощадки</t>
        </is>
      </c>
      <c r="E6" s="52" t="n">
        <v>46176</v>
      </c>
      <c r="F6" s="52" t="n">
        <v>46178</v>
      </c>
      <c r="G6" s="51" t="n"/>
      <c r="H6" s="51" t="n"/>
      <c r="I6" s="50" t="inlineStr">
        <is>
          <t>Новая</t>
        </is>
      </c>
      <c r="J6" s="50" t="n"/>
    </row>
    <row r="7">
      <c r="A7" s="53" t="n">
        <v>1</v>
      </c>
      <c r="B7" s="54" t="inlineStr">
        <is>
          <t>Врезка во временный водопровод</t>
        </is>
      </c>
      <c r="C7" s="54" t="inlineStr">
        <is>
          <t>1. Подготовительные работы</t>
        </is>
      </c>
      <c r="D7" s="54" t="inlineStr">
        <is>
          <t>Подключение к коммуникациям</t>
        </is>
      </c>
      <c r="E7" s="55" t="n">
        <v>46176</v>
      </c>
      <c r="F7" s="55" t="n">
        <v>46178</v>
      </c>
      <c r="G7" s="54" t="n"/>
      <c r="H7" s="54" t="n"/>
      <c r="I7" s="53" t="inlineStr">
        <is>
          <t>Новая</t>
        </is>
      </c>
      <c r="J7" s="53" t="n"/>
    </row>
    <row r="8">
      <c r="A8" s="50" t="n">
        <v>2</v>
      </c>
      <c r="B8" s="51" t="inlineStr">
        <is>
          <t>Подключение временной электрики</t>
        </is>
      </c>
      <c r="C8" s="51" t="inlineStr">
        <is>
          <t>1. Подготовительные работы</t>
        </is>
      </c>
      <c r="D8" s="51" t="inlineStr">
        <is>
          <t>Подключение к коммуникациям</t>
        </is>
      </c>
      <c r="E8" s="52" t="n">
        <v>46178</v>
      </c>
      <c r="F8" s="52" t="n">
        <v>46181</v>
      </c>
      <c r="G8" s="51" t="n"/>
      <c r="H8" s="51" t="n"/>
      <c r="I8" s="50" t="inlineStr">
        <is>
          <t>Новая</t>
        </is>
      </c>
      <c r="J8" s="50" t="n"/>
    </row>
    <row r="9">
      <c r="A9" s="53" t="n">
        <v>3</v>
      </c>
      <c r="B9" s="54" t="inlineStr">
        <is>
          <t>Устройство временной канализации</t>
        </is>
      </c>
      <c r="C9" s="54" t="inlineStr">
        <is>
          <t>1. Подготовительные работы</t>
        </is>
      </c>
      <c r="D9" s="54" t="inlineStr">
        <is>
          <t>Подключение к коммуникациям</t>
        </is>
      </c>
      <c r="E9" s="55" t="n">
        <v>46180</v>
      </c>
      <c r="F9" s="55" t="n">
        <v>46183</v>
      </c>
      <c r="G9" s="54" t="n"/>
      <c r="H9" s="54" t="n"/>
      <c r="I9" s="53" t="inlineStr">
        <is>
          <t>Новая</t>
        </is>
      </c>
      <c r="J9" s="53" t="n"/>
    </row>
    <row r="10">
      <c r="A10" s="50" t="n">
        <v>1</v>
      </c>
      <c r="B10" s="51" t="inlineStr">
        <is>
          <t>Срезка растительного слоя</t>
        </is>
      </c>
      <c r="C10" s="51" t="inlineStr">
        <is>
          <t>2. Земляные работы</t>
        </is>
      </c>
      <c r="D10" s="51" t="inlineStr">
        <is>
          <t>Разработка котлована</t>
        </is>
      </c>
      <c r="E10" s="52" t="n">
        <v>46181</v>
      </c>
      <c r="F10" s="52" t="n">
        <v>46183</v>
      </c>
      <c r="G10" s="51" t="n"/>
      <c r="H10" s="51" t="n"/>
      <c r="I10" s="50" t="inlineStr">
        <is>
          <t>Новая</t>
        </is>
      </c>
      <c r="J10" s="50" t="n"/>
    </row>
    <row r="11">
      <c r="A11" s="53" t="n">
        <v>2</v>
      </c>
      <c r="B11" s="54" t="inlineStr">
        <is>
          <t>Разработка котлована экскаватором</t>
        </is>
      </c>
      <c r="C11" s="54" t="inlineStr">
        <is>
          <t>2. Земляные работы</t>
        </is>
      </c>
      <c r="D11" s="54" t="inlineStr">
        <is>
          <t>Разработка котлована</t>
        </is>
      </c>
      <c r="E11" s="55" t="n">
        <v>46183</v>
      </c>
      <c r="F11" s="55" t="n">
        <v>46191</v>
      </c>
      <c r="G11" s="54" t="n"/>
      <c r="H11" s="54" t="n"/>
      <c r="I11" s="53" t="inlineStr">
        <is>
          <t>Новая</t>
        </is>
      </c>
      <c r="J11" s="53" t="n"/>
    </row>
    <row r="12">
      <c r="A12" s="50" t="n">
        <v>3</v>
      </c>
      <c r="B12" s="51" t="inlineStr">
        <is>
          <t>Зачистка дна котлована вручную</t>
        </is>
      </c>
      <c r="C12" s="51" t="inlineStr">
        <is>
          <t>2. Земляные работы</t>
        </is>
      </c>
      <c r="D12" s="51" t="inlineStr">
        <is>
          <t>Разработка котлована</t>
        </is>
      </c>
      <c r="E12" s="52" t="n">
        <v>46191</v>
      </c>
      <c r="F12" s="52" t="n">
        <v>46193</v>
      </c>
      <c r="G12" s="51" t="n"/>
      <c r="H12" s="51" t="n"/>
      <c r="I12" s="50" t="inlineStr">
        <is>
          <t>Новая</t>
        </is>
      </c>
      <c r="J12" s="50" t="n"/>
    </row>
    <row r="13">
      <c r="A13" s="53" t="n">
        <v>4</v>
      </c>
      <c r="B13" s="54" t="inlineStr">
        <is>
          <t>Вывоз лишнего грунта</t>
        </is>
      </c>
      <c r="C13" s="54" t="inlineStr">
        <is>
          <t>2. Земляные работы</t>
        </is>
      </c>
      <c r="D13" s="54" t="inlineStr">
        <is>
          <t>Разработка котлована</t>
        </is>
      </c>
      <c r="E13" s="55" t="n">
        <v>46192</v>
      </c>
      <c r="F13" s="55" t="n">
        <v>46195</v>
      </c>
      <c r="G13" s="54" t="n"/>
      <c r="H13" s="54" t="n"/>
      <c r="I13" s="53" t="inlineStr">
        <is>
          <t>Новая</t>
        </is>
      </c>
      <c r="J13" s="53" t="n"/>
    </row>
    <row r="14">
      <c r="A14" s="50" t="n">
        <v>1</v>
      </c>
      <c r="B14" s="51" t="inlineStr">
        <is>
          <t>Грубая планировка бульдозером</t>
        </is>
      </c>
      <c r="C14" s="51" t="inlineStr">
        <is>
          <t>2. Земляные работы</t>
        </is>
      </c>
      <c r="D14" s="51" t="inlineStr">
        <is>
          <t>Планировка территории</t>
        </is>
      </c>
      <c r="E14" s="52" t="n">
        <v>46193</v>
      </c>
      <c r="F14" s="52" t="n">
        <v>46197</v>
      </c>
      <c r="G14" s="51" t="n"/>
      <c r="H14" s="51" t="n"/>
      <c r="I14" s="50" t="inlineStr">
        <is>
          <t>Новая</t>
        </is>
      </c>
      <c r="J14" s="50" t="n"/>
    </row>
    <row r="15">
      <c r="A15" s="53" t="n">
        <v>2</v>
      </c>
      <c r="B15" s="54" t="inlineStr">
        <is>
          <t>Чистовая планировка грейдером</t>
        </is>
      </c>
      <c r="C15" s="54" t="inlineStr">
        <is>
          <t>2. Земляные работы</t>
        </is>
      </c>
      <c r="D15" s="54" t="inlineStr">
        <is>
          <t>Планировка территории</t>
        </is>
      </c>
      <c r="E15" s="55" t="n">
        <v>46197</v>
      </c>
      <c r="F15" s="55" t="n">
        <v>46201</v>
      </c>
      <c r="G15" s="54" t="n"/>
      <c r="H15" s="54" t="n"/>
      <c r="I15" s="53" t="inlineStr">
        <is>
          <t>Новая</t>
        </is>
      </c>
      <c r="J15" s="53" t="n"/>
    </row>
    <row r="16">
      <c r="A16" s="50" t="n">
        <v>1</v>
      </c>
      <c r="B16" s="51" t="inlineStr">
        <is>
          <t>Засыпка и трамбовка щебня</t>
        </is>
      </c>
      <c r="C16" s="51" t="inlineStr">
        <is>
          <t>3. Фундамент</t>
        </is>
      </c>
      <c r="D16" s="51" t="inlineStr">
        <is>
          <t>Устройство подушки</t>
        </is>
      </c>
      <c r="E16" s="52" t="n">
        <v>46198</v>
      </c>
      <c r="F16" s="52" t="n">
        <v>46202</v>
      </c>
      <c r="G16" s="51" t="n"/>
      <c r="H16" s="51" t="n"/>
      <c r="I16" s="50" t="inlineStr">
        <is>
          <t>Новая</t>
        </is>
      </c>
      <c r="J16" s="50" t="n"/>
    </row>
    <row r="17">
      <c r="A17" s="53" t="n">
        <v>2</v>
      </c>
      <c r="B17" s="54" t="inlineStr">
        <is>
          <t>Устройство песчаной подушки</t>
        </is>
      </c>
      <c r="C17" s="54" t="inlineStr">
        <is>
          <t>3. Фундамент</t>
        </is>
      </c>
      <c r="D17" s="54" t="inlineStr">
        <is>
          <t>Устройство подушки</t>
        </is>
      </c>
      <c r="E17" s="55" t="n">
        <v>46202</v>
      </c>
      <c r="F17" s="55" t="n">
        <v>46205</v>
      </c>
      <c r="G17" s="54" t="n"/>
      <c r="H17" s="54" t="n"/>
      <c r="I17" s="53" t="inlineStr">
        <is>
          <t>Новая</t>
        </is>
      </c>
      <c r="J17" s="53" t="n"/>
    </row>
    <row r="18">
      <c r="A18" s="50" t="n">
        <v>3</v>
      </c>
      <c r="B18" s="51" t="inlineStr">
        <is>
          <t>Уплотнение основания виброплитой</t>
        </is>
      </c>
      <c r="C18" s="51" t="inlineStr">
        <is>
          <t>3. Фундамент</t>
        </is>
      </c>
      <c r="D18" s="51" t="inlineStr">
        <is>
          <t>Устройство подушки</t>
        </is>
      </c>
      <c r="E18" s="52" t="n">
        <v>46205</v>
      </c>
      <c r="F18" s="52" t="n">
        <v>46208</v>
      </c>
      <c r="G18" s="51" t="n"/>
      <c r="H18" s="51" t="n"/>
      <c r="I18" s="50" t="inlineStr">
        <is>
          <t>Новая</t>
        </is>
      </c>
      <c r="J18" s="50" t="n"/>
    </row>
    <row r="19">
      <c r="A19" s="53" t="n">
        <v>1</v>
      </c>
      <c r="B19" s="54" t="inlineStr">
        <is>
          <t>Установка опалубки</t>
        </is>
      </c>
      <c r="C19" s="54" t="inlineStr">
        <is>
          <t>3. Фундамент</t>
        </is>
      </c>
      <c r="D19" s="54" t="inlineStr">
        <is>
          <t>Монолитный ростверк</t>
        </is>
      </c>
      <c r="E19" s="55" t="n">
        <v>46206</v>
      </c>
      <c r="F19" s="55" t="n">
        <v>46210</v>
      </c>
      <c r="G19" s="54" t="n"/>
      <c r="H19" s="54" t="n"/>
      <c r="I19" s="53" t="inlineStr">
        <is>
          <t>Новая</t>
        </is>
      </c>
      <c r="J19" s="53" t="n"/>
    </row>
    <row r="20">
      <c r="A20" s="50" t="n">
        <v>2</v>
      </c>
      <c r="B20" s="51" t="inlineStr">
        <is>
          <t>Вязка арматурного каркаса</t>
        </is>
      </c>
      <c r="C20" s="51" t="inlineStr">
        <is>
          <t>3. Фундамент</t>
        </is>
      </c>
      <c r="D20" s="51" t="inlineStr">
        <is>
          <t>Монолитный ростверк</t>
        </is>
      </c>
      <c r="E20" s="52" t="n">
        <v>46209</v>
      </c>
      <c r="F20" s="52" t="n">
        <v>46215</v>
      </c>
      <c r="G20" s="51" t="n"/>
      <c r="H20" s="51" t="n"/>
      <c r="I20" s="50" t="inlineStr">
        <is>
          <t>Новая</t>
        </is>
      </c>
      <c r="J20" s="50" t="n"/>
    </row>
    <row r="21">
      <c r="A21" s="53" t="n">
        <v>3</v>
      </c>
      <c r="B21" s="54" t="inlineStr">
        <is>
          <t>Заливка бетона</t>
        </is>
      </c>
      <c r="C21" s="54" t="inlineStr">
        <is>
          <t>3. Фундамент</t>
        </is>
      </c>
      <c r="D21" s="54" t="inlineStr">
        <is>
          <t>Монолитный ростверк</t>
        </is>
      </c>
      <c r="E21" s="55" t="n">
        <v>46215</v>
      </c>
      <c r="F21" s="55" t="n">
        <v>46218</v>
      </c>
      <c r="G21" s="54" t="n"/>
      <c r="H21" s="54" t="n"/>
      <c r="I21" s="53" t="inlineStr">
        <is>
          <t>Новая</t>
        </is>
      </c>
      <c r="J21" s="53" t="n"/>
    </row>
    <row r="22">
      <c r="A22" s="50" t="n">
        <v>4</v>
      </c>
      <c r="B22" s="51" t="inlineStr">
        <is>
          <t>Выдержка и распалубка</t>
        </is>
      </c>
      <c r="C22" s="51" t="inlineStr">
        <is>
          <t>3. Фундамент</t>
        </is>
      </c>
      <c r="D22" s="51" t="inlineStr">
        <is>
          <t>Монолитный ростверк</t>
        </is>
      </c>
      <c r="E22" s="52" t="n">
        <v>46218</v>
      </c>
      <c r="F22" s="52" t="n">
        <v>46223</v>
      </c>
      <c r="G22" s="51" t="n"/>
      <c r="H22" s="51" t="n"/>
      <c r="I22" s="50" t="inlineStr">
        <is>
          <t>Новая</t>
        </is>
      </c>
      <c r="J22" s="50" t="n"/>
    </row>
    <row r="23">
      <c r="A23" s="53" t="n">
        <v>1</v>
      </c>
      <c r="B23" s="54" t="inlineStr">
        <is>
          <t>Подготовка поверхности</t>
        </is>
      </c>
      <c r="C23" s="54" t="inlineStr">
        <is>
          <t>3. Фундамент</t>
        </is>
      </c>
      <c r="D23" s="54" t="inlineStr">
        <is>
          <t>Гидроизоляция фундамента</t>
        </is>
      </c>
      <c r="E23" s="55" t="n">
        <v>46221</v>
      </c>
      <c r="F23" s="55" t="n">
        <v>46223</v>
      </c>
      <c r="G23" s="54" t="n"/>
      <c r="H23" s="54" t="n"/>
      <c r="I23" s="53" t="inlineStr">
        <is>
          <t>Новая</t>
        </is>
      </c>
      <c r="J23" s="53" t="n"/>
    </row>
    <row r="24">
      <c r="A24" s="50" t="n">
        <v>2</v>
      </c>
      <c r="B24" s="51" t="inlineStr">
        <is>
          <t>Нанесение обмазочной гидроизоляции</t>
        </is>
      </c>
      <c r="C24" s="51" t="inlineStr">
        <is>
          <t>3. Фундамент</t>
        </is>
      </c>
      <c r="D24" s="51" t="inlineStr">
        <is>
          <t>Гидроизоляция фундамента</t>
        </is>
      </c>
      <c r="E24" s="52" t="n">
        <v>46223</v>
      </c>
      <c r="F24" s="52" t="n">
        <v>46226</v>
      </c>
      <c r="G24" s="51" t="n"/>
      <c r="H24" s="51" t="n"/>
      <c r="I24" s="50" t="inlineStr">
        <is>
          <t>Новая</t>
        </is>
      </c>
      <c r="J24" s="50" t="n"/>
    </row>
    <row r="25">
      <c r="A25" s="53" t="n">
        <v>3</v>
      </c>
      <c r="B25" s="54" t="inlineStr">
        <is>
          <t>Устройство дренажной системы</t>
        </is>
      </c>
      <c r="C25" s="54" t="inlineStr">
        <is>
          <t>3. Фундамент</t>
        </is>
      </c>
      <c r="D25" s="54" t="inlineStr">
        <is>
          <t>Гидроизоляция фундамента</t>
        </is>
      </c>
      <c r="E25" s="55" t="n">
        <v>46225</v>
      </c>
      <c r="F25" s="55" t="n">
        <v>46228</v>
      </c>
      <c r="G25" s="54" t="n"/>
      <c r="H25" s="54" t="n"/>
      <c r="I25" s="53" t="inlineStr">
        <is>
          <t>Новая</t>
        </is>
      </c>
      <c r="J25" s="53" t="n"/>
    </row>
    <row r="26">
      <c r="A26" s="50" t="n">
        <v>1</v>
      </c>
      <c r="B26" s="51" t="inlineStr">
        <is>
          <t>Разметка и укладка первого ряда</t>
        </is>
      </c>
      <c r="C26" s="51" t="inlineStr">
        <is>
          <t>4. Стены и перекрытия</t>
        </is>
      </c>
      <c r="D26" s="51" t="inlineStr">
        <is>
          <t>Кладка стен 1-го этажа</t>
        </is>
      </c>
      <c r="E26" s="52" t="n">
        <v>46225</v>
      </c>
      <c r="F26" s="52" t="n">
        <v>46228</v>
      </c>
      <c r="G26" s="51" t="n"/>
      <c r="H26" s="51" t="n"/>
      <c r="I26" s="50" t="inlineStr">
        <is>
          <t>Новая</t>
        </is>
      </c>
      <c r="J26" s="50" t="n"/>
    </row>
    <row r="27">
      <c r="A27" s="53" t="n">
        <v>2</v>
      </c>
      <c r="B27" s="54" t="inlineStr">
        <is>
          <t>Кладка несущих стен до 1,5 м</t>
        </is>
      </c>
      <c r="C27" s="54" t="inlineStr">
        <is>
          <t>4. Стены и перекрытия</t>
        </is>
      </c>
      <c r="D27" s="54" t="inlineStr">
        <is>
          <t>Кладка стен 1-го этажа</t>
        </is>
      </c>
      <c r="E27" s="55" t="n">
        <v>46228</v>
      </c>
      <c r="F27" s="55" t="n">
        <v>46238</v>
      </c>
      <c r="G27" s="54" t="n"/>
      <c r="H27" s="54" t="n"/>
      <c r="I27" s="53" t="inlineStr">
        <is>
          <t>Новая</t>
        </is>
      </c>
      <c r="J27" s="53" t="n"/>
    </row>
    <row r="28">
      <c r="A28" s="50" t="n">
        <v>3</v>
      </c>
      <c r="B28" s="51" t="inlineStr">
        <is>
          <t>Кладка стен до уровня перекрытия</t>
        </is>
      </c>
      <c r="C28" s="51" t="inlineStr">
        <is>
          <t>4. Стены и перекрытия</t>
        </is>
      </c>
      <c r="D28" s="51" t="inlineStr">
        <is>
          <t>Кладка стен 1-го этажа</t>
        </is>
      </c>
      <c r="E28" s="52" t="n">
        <v>46238</v>
      </c>
      <c r="F28" s="52" t="n">
        <v>46246</v>
      </c>
      <c r="G28" s="51" t="n"/>
      <c r="H28" s="51" t="n"/>
      <c r="I28" s="50" t="inlineStr">
        <is>
          <t>Новая</t>
        </is>
      </c>
      <c r="J28" s="50" t="n"/>
    </row>
    <row r="29">
      <c r="A29" s="53" t="n">
        <v>4</v>
      </c>
      <c r="B29" s="54" t="inlineStr">
        <is>
          <t>Устройство перемычек над проёмами</t>
        </is>
      </c>
      <c r="C29" s="54" t="inlineStr">
        <is>
          <t>4. Стены и перекрытия</t>
        </is>
      </c>
      <c r="D29" s="54" t="inlineStr">
        <is>
          <t>Кладка стен 1-го этажа</t>
        </is>
      </c>
      <c r="E29" s="55" t="n">
        <v>46244</v>
      </c>
      <c r="F29" s="55" t="n">
        <v>46249</v>
      </c>
      <c r="G29" s="54" t="n"/>
      <c r="H29" s="54" t="n"/>
      <c r="I29" s="53" t="inlineStr">
        <is>
          <t>Новая</t>
        </is>
      </c>
      <c r="J29" s="53" t="n"/>
    </row>
    <row r="30">
      <c r="A30" s="50" t="n">
        <v>1</v>
      </c>
      <c r="B30" s="51" t="inlineStr">
        <is>
          <t>Разметка и укладка первого ряда 2-го этажа</t>
        </is>
      </c>
      <c r="C30" s="51" t="inlineStr">
        <is>
          <t>4. Стены и перекрытия</t>
        </is>
      </c>
      <c r="D30" s="51" t="inlineStr">
        <is>
          <t>Кладка стен 2-го этажа</t>
        </is>
      </c>
      <c r="E30" s="52" t="n">
        <v>46246</v>
      </c>
      <c r="F30" s="52" t="n">
        <v>46249</v>
      </c>
      <c r="G30" s="51" t="n"/>
      <c r="H30" s="51" t="n"/>
      <c r="I30" s="50" t="inlineStr">
        <is>
          <t>Новая</t>
        </is>
      </c>
      <c r="J30" s="50" t="n"/>
    </row>
    <row r="31">
      <c r="A31" s="53" t="n">
        <v>2</v>
      </c>
      <c r="B31" s="54" t="inlineStr">
        <is>
          <t>Кладка несущих стен до 1,5 м</t>
        </is>
      </c>
      <c r="C31" s="54" t="inlineStr">
        <is>
          <t>4. Стены и перекрытия</t>
        </is>
      </c>
      <c r="D31" s="54" t="inlineStr">
        <is>
          <t>Кладка стен 2-го этажа</t>
        </is>
      </c>
      <c r="E31" s="55" t="n">
        <v>46249</v>
      </c>
      <c r="F31" s="55" t="n">
        <v>46259</v>
      </c>
      <c r="G31" s="54" t="n"/>
      <c r="H31" s="54" t="n"/>
      <c r="I31" s="53" t="inlineStr">
        <is>
          <t>Новая</t>
        </is>
      </c>
      <c r="J31" s="53" t="n"/>
    </row>
    <row r="32">
      <c r="A32" s="50" t="n">
        <v>3</v>
      </c>
      <c r="B32" s="51" t="inlineStr">
        <is>
          <t>Кладка стен до уровня перекрытия</t>
        </is>
      </c>
      <c r="C32" s="51" t="inlineStr">
        <is>
          <t>4. Стены и перекрытия</t>
        </is>
      </c>
      <c r="D32" s="51" t="inlineStr">
        <is>
          <t>Кладка стен 2-го этажа</t>
        </is>
      </c>
      <c r="E32" s="52" t="n">
        <v>46259</v>
      </c>
      <c r="F32" s="52" t="n">
        <v>46267</v>
      </c>
      <c r="G32" s="51" t="n"/>
      <c r="H32" s="51" t="n"/>
      <c r="I32" s="50" t="inlineStr">
        <is>
          <t>Новая</t>
        </is>
      </c>
      <c r="J32" s="50" t="n"/>
    </row>
    <row r="33">
      <c r="A33" s="53" t="n">
        <v>4</v>
      </c>
      <c r="B33" s="54" t="inlineStr">
        <is>
          <t>Устройство армопояса</t>
        </is>
      </c>
      <c r="C33" s="54" t="inlineStr">
        <is>
          <t>4. Стены и перекрытия</t>
        </is>
      </c>
      <c r="D33" s="54" t="inlineStr">
        <is>
          <t>Кладка стен 2-го этажа</t>
        </is>
      </c>
      <c r="E33" s="55" t="n">
        <v>46264</v>
      </c>
      <c r="F33" s="55" t="n">
        <v>46270</v>
      </c>
      <c r="G33" s="54" t="n"/>
      <c r="H33" s="54" t="n"/>
      <c r="I33" s="53" t="inlineStr">
        <is>
          <t>Новая</t>
        </is>
      </c>
      <c r="J33" s="53" t="n"/>
    </row>
    <row r="34">
      <c r="A34" s="50" t="n">
        <v>1</v>
      </c>
      <c r="B34" s="51" t="inlineStr">
        <is>
          <t>Монтаж опалубки перекрытия</t>
        </is>
      </c>
      <c r="C34" s="51" t="inlineStr">
        <is>
          <t>4. Стены и перекрытия</t>
        </is>
      </c>
      <c r="D34" s="51" t="inlineStr">
        <is>
          <t>Устройство перекрытий</t>
        </is>
      </c>
      <c r="E34" s="52" t="n">
        <v>46268</v>
      </c>
      <c r="F34" s="52" t="n">
        <v>46272</v>
      </c>
      <c r="G34" s="51" t="n"/>
      <c r="H34" s="51" t="n"/>
      <c r="I34" s="50" t="inlineStr">
        <is>
          <t>Новая</t>
        </is>
      </c>
      <c r="J34" s="50" t="n"/>
    </row>
    <row r="35">
      <c r="A35" s="53" t="n">
        <v>2</v>
      </c>
      <c r="B35" s="54" t="inlineStr">
        <is>
          <t>Укладка арматуры</t>
        </is>
      </c>
      <c r="C35" s="54" t="inlineStr">
        <is>
          <t>4. Стены и перекрытия</t>
        </is>
      </c>
      <c r="D35" s="54" t="inlineStr">
        <is>
          <t>Устройство перекрытий</t>
        </is>
      </c>
      <c r="E35" s="55" t="n">
        <v>46272</v>
      </c>
      <c r="F35" s="55" t="n">
        <v>46277</v>
      </c>
      <c r="G35" s="54" t="n"/>
      <c r="H35" s="54" t="n"/>
      <c r="I35" s="53" t="inlineStr">
        <is>
          <t>Новая</t>
        </is>
      </c>
      <c r="J35" s="53" t="n"/>
    </row>
    <row r="36">
      <c r="A36" s="50" t="n">
        <v>3</v>
      </c>
      <c r="B36" s="51" t="inlineStr">
        <is>
          <t>Заливка бетона</t>
        </is>
      </c>
      <c r="C36" s="51" t="inlineStr">
        <is>
          <t>4. Стены и перекрытия</t>
        </is>
      </c>
      <c r="D36" s="51" t="inlineStr">
        <is>
          <t>Устройство перекрытий</t>
        </is>
      </c>
      <c r="E36" s="52" t="n">
        <v>46277</v>
      </c>
      <c r="F36" s="52" t="n">
        <v>46280</v>
      </c>
      <c r="G36" s="51" t="n"/>
      <c r="H36" s="51" t="n"/>
      <c r="I36" s="50" t="inlineStr">
        <is>
          <t>Новая</t>
        </is>
      </c>
      <c r="J36" s="50" t="n"/>
    </row>
    <row r="37">
      <c r="A37" s="53" t="n">
        <v>4</v>
      </c>
      <c r="B37" s="54" t="inlineStr">
        <is>
          <t>Выдержка и распалубка перекрытия</t>
        </is>
      </c>
      <c r="C37" s="54" t="inlineStr">
        <is>
          <t>4. Стены и перекрытия</t>
        </is>
      </c>
      <c r="D37" s="54" t="inlineStr">
        <is>
          <t>Устройство перекрытий</t>
        </is>
      </c>
      <c r="E37" s="55" t="n">
        <v>46280</v>
      </c>
      <c r="F37" s="55" t="n">
        <v>46285</v>
      </c>
      <c r="G37" s="54" t="n"/>
      <c r="H37" s="54" t="n"/>
      <c r="I37" s="53" t="inlineStr">
        <is>
          <t>Новая</t>
        </is>
      </c>
      <c r="J37" s="53" t="n"/>
    </row>
    <row r="38">
      <c r="A38" s="50" t="n">
        <v>1</v>
      </c>
      <c r="B38" s="51" t="inlineStr">
        <is>
          <t>Монтаж мауэрлата</t>
        </is>
      </c>
      <c r="C38" s="51" t="inlineStr">
        <is>
          <t>5. Кровля</t>
        </is>
      </c>
      <c r="D38" s="51" t="inlineStr">
        <is>
          <t>Стропильная система</t>
        </is>
      </c>
      <c r="E38" s="52" t="n">
        <v>46283</v>
      </c>
      <c r="F38" s="52" t="n">
        <v>46286</v>
      </c>
      <c r="G38" s="51" t="n"/>
      <c r="H38" s="51" t="n"/>
      <c r="I38" s="50" t="inlineStr">
        <is>
          <t>Новая</t>
        </is>
      </c>
      <c r="J38" s="50" t="n"/>
    </row>
    <row r="39">
      <c r="A39" s="53" t="n">
        <v>2</v>
      </c>
      <c r="B39" s="54" t="inlineStr">
        <is>
          <t>Установка стропил</t>
        </is>
      </c>
      <c r="C39" s="54" t="inlineStr">
        <is>
          <t>5. Кровля</t>
        </is>
      </c>
      <c r="D39" s="54" t="inlineStr">
        <is>
          <t>Стропильная система</t>
        </is>
      </c>
      <c r="E39" s="55" t="n">
        <v>46286</v>
      </c>
      <c r="F39" s="55" t="n">
        <v>46292</v>
      </c>
      <c r="G39" s="54" t="n"/>
      <c r="H39" s="54" t="n"/>
      <c r="I39" s="53" t="inlineStr">
        <is>
          <t>Новая</t>
        </is>
      </c>
      <c r="J39" s="53" t="n"/>
    </row>
    <row r="40">
      <c r="A40" s="50" t="n">
        <v>3</v>
      </c>
      <c r="B40" s="51" t="inlineStr">
        <is>
          <t>Устройство обрешётки</t>
        </is>
      </c>
      <c r="C40" s="51" t="inlineStr">
        <is>
          <t>5. Кровля</t>
        </is>
      </c>
      <c r="D40" s="51" t="inlineStr">
        <is>
          <t>Стропильная система</t>
        </is>
      </c>
      <c r="E40" s="52" t="n">
        <v>46291</v>
      </c>
      <c r="F40" s="52" t="n">
        <v>46295</v>
      </c>
      <c r="G40" s="51" t="n"/>
      <c r="H40" s="51" t="n"/>
      <c r="I40" s="50" t="inlineStr">
        <is>
          <t>Новая</t>
        </is>
      </c>
      <c r="J40" s="50" t="n"/>
    </row>
    <row r="41">
      <c r="A41" s="53" t="n">
        <v>1</v>
      </c>
      <c r="B41" s="54" t="inlineStr">
        <is>
          <t>Укладка гидроизоляционной плёнки</t>
        </is>
      </c>
      <c r="C41" s="54" t="inlineStr">
        <is>
          <t>5. Кровля</t>
        </is>
      </c>
      <c r="D41" s="54" t="inlineStr">
        <is>
          <t>Кровельное покрытие</t>
        </is>
      </c>
      <c r="E41" s="55" t="n">
        <v>46293</v>
      </c>
      <c r="F41" s="55" t="n">
        <v>46296</v>
      </c>
      <c r="G41" s="54" t="n"/>
      <c r="H41" s="54" t="n"/>
      <c r="I41" s="53" t="inlineStr">
        <is>
          <t>Новая</t>
        </is>
      </c>
      <c r="J41" s="53" t="n"/>
    </row>
    <row r="42">
      <c r="A42" s="50" t="n">
        <v>2</v>
      </c>
      <c r="B42" s="51" t="inlineStr">
        <is>
          <t>Монтаж кровельного покрытия</t>
        </is>
      </c>
      <c r="C42" s="51" t="inlineStr">
        <is>
          <t>5. Кровля</t>
        </is>
      </c>
      <c r="D42" s="51" t="inlineStr">
        <is>
          <t>Кровельное покрытие</t>
        </is>
      </c>
      <c r="E42" s="52" t="n">
        <v>46296</v>
      </c>
      <c r="F42" s="52" t="n">
        <v>46303</v>
      </c>
      <c r="G42" s="51" t="n"/>
      <c r="H42" s="51" t="n"/>
      <c r="I42" s="50" t="inlineStr">
        <is>
          <t>Новая</t>
        </is>
      </c>
      <c r="J42" s="50" t="n"/>
    </row>
    <row r="43">
      <c r="A43" s="53" t="n">
        <v>3</v>
      </c>
      <c r="B43" s="54" t="inlineStr">
        <is>
          <t>Установка коньков и ендов</t>
        </is>
      </c>
      <c r="C43" s="54" t="inlineStr">
        <is>
          <t>5. Кровля</t>
        </is>
      </c>
      <c r="D43" s="54" t="inlineStr">
        <is>
          <t>Кровельное покрытие</t>
        </is>
      </c>
      <c r="E43" s="55" t="n">
        <v>46302</v>
      </c>
      <c r="F43" s="55" t="n">
        <v>46305</v>
      </c>
      <c r="G43" s="54" t="n"/>
      <c r="H43" s="54" t="n"/>
      <c r="I43" s="53" t="inlineStr">
        <is>
          <t>Новая</t>
        </is>
      </c>
      <c r="J43" s="53" t="n"/>
    </row>
    <row r="44">
      <c r="A44" s="50" t="n">
        <v>4</v>
      </c>
      <c r="B44" s="51" t="inlineStr">
        <is>
          <t>Монтаж водосточной системы</t>
        </is>
      </c>
      <c r="C44" s="51" t="inlineStr">
        <is>
          <t>5. Кровля</t>
        </is>
      </c>
      <c r="D44" s="51" t="inlineStr">
        <is>
          <t>Кровельное покрытие</t>
        </is>
      </c>
      <c r="E44" s="52" t="n">
        <v>46304</v>
      </c>
      <c r="F44" s="52" t="n">
        <v>46307</v>
      </c>
      <c r="G44" s="51" t="n"/>
      <c r="H44" s="51" t="n"/>
      <c r="I44" s="50" t="inlineStr">
        <is>
          <t>Новая</t>
        </is>
      </c>
      <c r="J44" s="50" t="n"/>
    </row>
    <row r="45">
      <c r="A45" s="53" t="n">
        <v>1</v>
      </c>
      <c r="B45" s="54" t="inlineStr">
        <is>
          <t>Крепление плит утеплителя</t>
        </is>
      </c>
      <c r="C45" s="54" t="inlineStr">
        <is>
          <t>6. Фасад и окна</t>
        </is>
      </c>
      <c r="D45" s="54" t="inlineStr">
        <is>
          <t>Утепление и штукатурка фасада</t>
        </is>
      </c>
      <c r="E45" s="55" t="n">
        <v>46305</v>
      </c>
      <c r="F45" s="55" t="n">
        <v>46312</v>
      </c>
      <c r="G45" s="54" t="n"/>
      <c r="H45" s="54" t="n"/>
      <c r="I45" s="53" t="inlineStr">
        <is>
          <t>Новая</t>
        </is>
      </c>
      <c r="J45" s="53" t="n"/>
    </row>
    <row r="46">
      <c r="A46" s="50" t="n">
        <v>2</v>
      </c>
      <c r="B46" s="51" t="inlineStr">
        <is>
          <t>Нанесение армирующего слоя</t>
        </is>
      </c>
      <c r="C46" s="51" t="inlineStr">
        <is>
          <t>6. Фасад и окна</t>
        </is>
      </c>
      <c r="D46" s="51" t="inlineStr">
        <is>
          <t>Утепление и штукатурка фасада</t>
        </is>
      </c>
      <c r="E46" s="52" t="n">
        <v>46312</v>
      </c>
      <c r="F46" s="52" t="n">
        <v>46317</v>
      </c>
      <c r="G46" s="51" t="n"/>
      <c r="H46" s="51" t="n"/>
      <c r="I46" s="50" t="inlineStr">
        <is>
          <t>Новая</t>
        </is>
      </c>
      <c r="J46" s="50" t="n"/>
    </row>
    <row r="47">
      <c r="A47" s="53" t="n">
        <v>3</v>
      </c>
      <c r="B47" s="54" t="inlineStr">
        <is>
          <t>Грунтование поверхности</t>
        </is>
      </c>
      <c r="C47" s="54" t="inlineStr">
        <is>
          <t>6. Фасад и окна</t>
        </is>
      </c>
      <c r="D47" s="54" t="inlineStr">
        <is>
          <t>Утепление и штукатурка фасада</t>
        </is>
      </c>
      <c r="E47" s="55" t="n">
        <v>46316</v>
      </c>
      <c r="F47" s="55" t="n">
        <v>46319</v>
      </c>
      <c r="G47" s="54" t="n"/>
      <c r="H47" s="54" t="n"/>
      <c r="I47" s="53" t="inlineStr">
        <is>
          <t>Новая</t>
        </is>
      </c>
      <c r="J47" s="53" t="n"/>
    </row>
    <row r="48">
      <c r="A48" s="50" t="n">
        <v>4</v>
      </c>
      <c r="B48" s="51" t="inlineStr">
        <is>
          <t>Нанесение финишной штукатурки</t>
        </is>
      </c>
      <c r="C48" s="51" t="inlineStr">
        <is>
          <t>6. Фасад и окна</t>
        </is>
      </c>
      <c r="D48" s="51" t="inlineStr">
        <is>
          <t>Утепление и штукатурка фасада</t>
        </is>
      </c>
      <c r="E48" s="52" t="n">
        <v>46318</v>
      </c>
      <c r="F48" s="52" t="n">
        <v>46323</v>
      </c>
      <c r="G48" s="51" t="n"/>
      <c r="H48" s="51" t="n"/>
      <c r="I48" s="50" t="inlineStr">
        <is>
          <t>Новая</t>
        </is>
      </c>
      <c r="J48" s="50" t="n"/>
    </row>
    <row r="49">
      <c r="A49" s="53" t="n">
        <v>1</v>
      </c>
      <c r="B49" s="54" t="inlineStr">
        <is>
          <t>Установка оконных блоков</t>
        </is>
      </c>
      <c r="C49" s="54" t="inlineStr">
        <is>
          <t>6. Фасад и окна</t>
        </is>
      </c>
      <c r="D49" s="54" t="inlineStr">
        <is>
          <t>Окна и двери</t>
        </is>
      </c>
      <c r="E49" s="55" t="n">
        <v>46310</v>
      </c>
      <c r="F49" s="55" t="n">
        <v>46317</v>
      </c>
      <c r="G49" s="54" t="n"/>
      <c r="H49" s="54" t="n"/>
      <c r="I49" s="53" t="inlineStr">
        <is>
          <t>Новая</t>
        </is>
      </c>
      <c r="J49" s="53" t="n"/>
    </row>
    <row r="50">
      <c r="A50" s="50" t="n">
        <v>2</v>
      </c>
      <c r="B50" s="51" t="inlineStr">
        <is>
          <t>Установка входных дверей</t>
        </is>
      </c>
      <c r="C50" s="51" t="inlineStr">
        <is>
          <t>6. Фасад и окна</t>
        </is>
      </c>
      <c r="D50" s="51" t="inlineStr">
        <is>
          <t>Окна и двери</t>
        </is>
      </c>
      <c r="E50" s="52" t="n">
        <v>46317</v>
      </c>
      <c r="F50" s="52" t="n">
        <v>46321</v>
      </c>
      <c r="G50" s="51" t="n"/>
      <c r="H50" s="51" t="n"/>
      <c r="I50" s="50" t="inlineStr">
        <is>
          <t>Новая</t>
        </is>
      </c>
      <c r="J50" s="50" t="n"/>
    </row>
    <row r="51">
      <c r="A51" s="53" t="n">
        <v>3</v>
      </c>
      <c r="B51" s="54" t="inlineStr">
        <is>
          <t>Герметизация швов и откосы</t>
        </is>
      </c>
      <c r="C51" s="54" t="inlineStr">
        <is>
          <t>6. Фасад и окна</t>
        </is>
      </c>
      <c r="D51" s="54" t="inlineStr">
        <is>
          <t>Окна и двери</t>
        </is>
      </c>
      <c r="E51" s="55" t="n">
        <v>46320</v>
      </c>
      <c r="F51" s="55" t="n">
        <v>46325</v>
      </c>
      <c r="G51" s="54" t="n"/>
      <c r="H51" s="54" t="n"/>
      <c r="I51" s="53" t="inlineStr">
        <is>
          <t>Новая</t>
        </is>
      </c>
      <c r="J51" s="53" t="n"/>
    </row>
    <row r="52">
      <c r="A52" s="50" t="n">
        <v>1</v>
      </c>
      <c r="B52" s="51" t="inlineStr">
        <is>
          <t>Устройство стяжки пола</t>
        </is>
      </c>
      <c r="C52" s="51" t="inlineStr">
        <is>
          <t>7. Внутренняя отделка</t>
        </is>
      </c>
      <c r="D52" s="51" t="inlineStr">
        <is>
          <t>Черновые полы / штукатурка</t>
        </is>
      </c>
      <c r="E52" s="52" t="n">
        <v>46327</v>
      </c>
      <c r="F52" s="52" t="n">
        <v>46334</v>
      </c>
      <c r="G52" s="51" t="n"/>
      <c r="H52" s="51" t="n"/>
      <c r="I52" s="50" t="inlineStr">
        <is>
          <t>Новая</t>
        </is>
      </c>
      <c r="J52" s="50" t="n"/>
    </row>
    <row r="53">
      <c r="A53" s="53" t="n">
        <v>2</v>
      </c>
      <c r="B53" s="54" t="inlineStr">
        <is>
          <t>Штукатурка стен 1-го этажа</t>
        </is>
      </c>
      <c r="C53" s="54" t="inlineStr">
        <is>
          <t>7. Внутренняя отделка</t>
        </is>
      </c>
      <c r="D53" s="54" t="inlineStr">
        <is>
          <t>Черновые полы / штукатурка</t>
        </is>
      </c>
      <c r="E53" s="55" t="n">
        <v>46331</v>
      </c>
      <c r="F53" s="55" t="n">
        <v>46338</v>
      </c>
      <c r="G53" s="54" t="n"/>
      <c r="H53" s="54" t="n"/>
      <c r="I53" s="53" t="inlineStr">
        <is>
          <t>Новая</t>
        </is>
      </c>
      <c r="J53" s="53" t="n"/>
    </row>
    <row r="54">
      <c r="A54" s="50" t="n">
        <v>3</v>
      </c>
      <c r="B54" s="51" t="inlineStr">
        <is>
          <t>Штукатурка стен 2-го этажа</t>
        </is>
      </c>
      <c r="C54" s="51" t="inlineStr">
        <is>
          <t>7. Внутренняя отделка</t>
        </is>
      </c>
      <c r="D54" s="51" t="inlineStr">
        <is>
          <t>Черновые полы / штукатурка</t>
        </is>
      </c>
      <c r="E54" s="52" t="n">
        <v>46336</v>
      </c>
      <c r="F54" s="52" t="n">
        <v>46343</v>
      </c>
      <c r="G54" s="51" t="n"/>
      <c r="H54" s="51" t="n"/>
      <c r="I54" s="50" t="inlineStr">
        <is>
          <t>Новая</t>
        </is>
      </c>
      <c r="J54" s="50" t="n"/>
    </row>
    <row r="55">
      <c r="A55" s="53" t="n">
        <v>4</v>
      </c>
      <c r="B55" s="54" t="inlineStr">
        <is>
          <t>Шпаклёвка потолков</t>
        </is>
      </c>
      <c r="C55" s="54" t="inlineStr">
        <is>
          <t>7. Внутренняя отделка</t>
        </is>
      </c>
      <c r="D55" s="54" t="inlineStr">
        <is>
          <t>Черновые полы / штукатурка</t>
        </is>
      </c>
      <c r="E55" s="55" t="n">
        <v>46341</v>
      </c>
      <c r="F55" s="55" t="n">
        <v>46346</v>
      </c>
      <c r="G55" s="54" t="n"/>
      <c r="H55" s="54" t="n"/>
      <c r="I55" s="53" t="inlineStr">
        <is>
          <t>Новая</t>
        </is>
      </c>
      <c r="J55" s="53" t="n"/>
    </row>
    <row r="56">
      <c r="A56" s="50" t="n">
        <v>1</v>
      </c>
      <c r="B56" s="51" t="inlineStr">
        <is>
          <t>Укладка плитки в санузлах</t>
        </is>
      </c>
      <c r="C56" s="51" t="inlineStr">
        <is>
          <t>7. Внутренняя отделка</t>
        </is>
      </c>
      <c r="D56" s="51" t="inlineStr">
        <is>
          <t>Чистовая отделка</t>
        </is>
      </c>
      <c r="E56" s="52" t="n">
        <v>46341</v>
      </c>
      <c r="F56" s="52" t="n">
        <v>46346</v>
      </c>
      <c r="G56" s="51" t="n"/>
      <c r="H56" s="51" t="n"/>
      <c r="I56" s="50" t="inlineStr">
        <is>
          <t>Новая</t>
        </is>
      </c>
      <c r="J56" s="50" t="n"/>
    </row>
    <row r="57">
      <c r="A57" s="53" t="n">
        <v>2</v>
      </c>
      <c r="B57" s="54" t="inlineStr">
        <is>
          <t>Поклейка обоев / покраска стен</t>
        </is>
      </c>
      <c r="C57" s="54" t="inlineStr">
        <is>
          <t>7. Внутренняя отделка</t>
        </is>
      </c>
      <c r="D57" s="54" t="inlineStr">
        <is>
          <t>Чистовая отделка</t>
        </is>
      </c>
      <c r="E57" s="55" t="n">
        <v>46344</v>
      </c>
      <c r="F57" s="55" t="n">
        <v>46351</v>
      </c>
      <c r="G57" s="54" t="n"/>
      <c r="H57" s="54" t="n"/>
      <c r="I57" s="53" t="inlineStr">
        <is>
          <t>Новая</t>
        </is>
      </c>
      <c r="J57" s="53" t="n"/>
    </row>
    <row r="58">
      <c r="A58" s="50" t="n">
        <v>3</v>
      </c>
      <c r="B58" s="51" t="inlineStr">
        <is>
          <t>Укладка ламината / паркета</t>
        </is>
      </c>
      <c r="C58" s="51" t="inlineStr">
        <is>
          <t>7. Внутренняя отделка</t>
        </is>
      </c>
      <c r="D58" s="51" t="inlineStr">
        <is>
          <t>Чистовая отделка</t>
        </is>
      </c>
      <c r="E58" s="52" t="n">
        <v>46348</v>
      </c>
      <c r="F58" s="52" t="n">
        <v>46354</v>
      </c>
      <c r="G58" s="51" t="n"/>
      <c r="H58" s="51" t="n"/>
      <c r="I58" s="50" t="inlineStr">
        <is>
          <t>Новая</t>
        </is>
      </c>
      <c r="J58" s="50" t="n"/>
    </row>
    <row r="59">
      <c r="A59" s="53" t="n">
        <v>4</v>
      </c>
      <c r="B59" s="54" t="inlineStr">
        <is>
          <t>Установка плинтусов и финишные работы</t>
        </is>
      </c>
      <c r="C59" s="54" t="inlineStr">
        <is>
          <t>7. Внутренняя отделка</t>
        </is>
      </c>
      <c r="D59" s="54" t="inlineStr">
        <is>
          <t>Чистовая отделка</t>
        </is>
      </c>
      <c r="E59" s="55" t="n">
        <v>46353</v>
      </c>
      <c r="F59" s="55" t="n">
        <v>46356</v>
      </c>
      <c r="G59" s="54" t="n"/>
      <c r="H59" s="54" t="n"/>
      <c r="I59" s="53" t="inlineStr">
        <is>
          <t>Новая</t>
        </is>
      </c>
      <c r="J59" s="53" t="n"/>
    </row>
    <row r="60">
      <c r="A60" s="50" t="n">
        <v>1</v>
      </c>
      <c r="B60" s="51" t="inlineStr">
        <is>
          <t>Прокладка кабельных трасс</t>
        </is>
      </c>
      <c r="C60" s="51" t="inlineStr">
        <is>
          <t>8. Инженерные системы</t>
        </is>
      </c>
      <c r="D60" s="51" t="inlineStr">
        <is>
          <t>Электромонтаж</t>
        </is>
      </c>
      <c r="E60" s="52" t="n">
        <v>46315</v>
      </c>
      <c r="F60" s="52" t="n">
        <v>46322</v>
      </c>
      <c r="G60" s="51" t="n"/>
      <c r="H60" s="51" t="n"/>
      <c r="I60" s="50" t="inlineStr">
        <is>
          <t>Новая</t>
        </is>
      </c>
      <c r="J60" s="50" t="n"/>
    </row>
    <row r="61">
      <c r="A61" s="53" t="n">
        <v>2</v>
      </c>
      <c r="B61" s="54" t="inlineStr">
        <is>
          <t>Монтаж щитков и розеток</t>
        </is>
      </c>
      <c r="C61" s="54" t="inlineStr">
        <is>
          <t>8. Инженерные системы</t>
        </is>
      </c>
      <c r="D61" s="54" t="inlineStr">
        <is>
          <t>Электромонтаж</t>
        </is>
      </c>
      <c r="E61" s="55" t="n">
        <v>46322</v>
      </c>
      <c r="F61" s="55" t="n">
        <v>46329</v>
      </c>
      <c r="G61" s="54" t="n"/>
      <c r="H61" s="54" t="n"/>
      <c r="I61" s="53" t="inlineStr">
        <is>
          <t>Новая</t>
        </is>
      </c>
      <c r="J61" s="53" t="n"/>
    </row>
    <row r="62">
      <c r="A62" s="50" t="n">
        <v>3</v>
      </c>
      <c r="B62" s="51" t="inlineStr">
        <is>
          <t>Подключение и тестирование</t>
        </is>
      </c>
      <c r="C62" s="51" t="inlineStr">
        <is>
          <t>8. Инженерные системы</t>
        </is>
      </c>
      <c r="D62" s="51" t="inlineStr">
        <is>
          <t>Электромонтаж</t>
        </is>
      </c>
      <c r="E62" s="52" t="n">
        <v>46329</v>
      </c>
      <c r="F62" s="52" t="n">
        <v>46336</v>
      </c>
      <c r="G62" s="51" t="n"/>
      <c r="H62" s="51" t="n"/>
      <c r="I62" s="50" t="inlineStr">
        <is>
          <t>Новая</t>
        </is>
      </c>
      <c r="J62" s="50" t="n"/>
    </row>
    <row r="63">
      <c r="A63" s="53" t="n">
        <v>1</v>
      </c>
      <c r="B63" s="54" t="inlineStr">
        <is>
          <t>Разводка труб водоснабжения</t>
        </is>
      </c>
      <c r="C63" s="54" t="inlineStr">
        <is>
          <t>8. Инженерные системы</t>
        </is>
      </c>
      <c r="D63" s="54" t="inlineStr">
        <is>
          <t>Сантехника</t>
        </is>
      </c>
      <c r="E63" s="55" t="n">
        <v>46320</v>
      </c>
      <c r="F63" s="55" t="n">
        <v>46328</v>
      </c>
      <c r="G63" s="54" t="n"/>
      <c r="H63" s="54" t="n"/>
      <c r="I63" s="53" t="inlineStr">
        <is>
          <t>Новая</t>
        </is>
      </c>
      <c r="J63" s="53" t="n"/>
    </row>
    <row r="64">
      <c r="A64" s="50" t="n">
        <v>2</v>
      </c>
      <c r="B64" s="51" t="inlineStr">
        <is>
          <t>Монтаж системы канализации</t>
        </is>
      </c>
      <c r="C64" s="51" t="inlineStr">
        <is>
          <t>8. Инженерные системы</t>
        </is>
      </c>
      <c r="D64" s="51" t="inlineStr">
        <is>
          <t>Сантехника</t>
        </is>
      </c>
      <c r="E64" s="52" t="n">
        <v>46328</v>
      </c>
      <c r="F64" s="52" t="n">
        <v>46334</v>
      </c>
      <c r="G64" s="51" t="n"/>
      <c r="H64" s="51" t="n"/>
      <c r="I64" s="50" t="inlineStr">
        <is>
          <t>Новая</t>
        </is>
      </c>
      <c r="J64" s="50" t="n"/>
    </row>
    <row r="65">
      <c r="A65" s="53" t="n">
        <v>3</v>
      </c>
      <c r="B65" s="54" t="inlineStr">
        <is>
          <t>Установка сантехнических приборов</t>
        </is>
      </c>
      <c r="C65" s="54" t="inlineStr">
        <is>
          <t>8. Инженерные системы</t>
        </is>
      </c>
      <c r="D65" s="54" t="inlineStr">
        <is>
          <t>Сантехника</t>
        </is>
      </c>
      <c r="E65" s="55" t="n">
        <v>46334</v>
      </c>
      <c r="F65" s="55" t="n">
        <v>46341</v>
      </c>
      <c r="G65" s="54" t="n"/>
      <c r="H65" s="54" t="n"/>
      <c r="I65" s="53" t="inlineStr">
        <is>
          <t>Новая</t>
        </is>
      </c>
      <c r="J65" s="53" t="n"/>
    </row>
    <row r="66">
      <c r="A66" s="50" t="n">
        <v>1</v>
      </c>
      <c r="B66" s="51" t="inlineStr">
        <is>
          <t>Монтаж воздуховодов</t>
        </is>
      </c>
      <c r="C66" s="51" t="inlineStr">
        <is>
          <t>8. Инженерные системы</t>
        </is>
      </c>
      <c r="D66" s="51" t="inlineStr">
        <is>
          <t>Вентиляция</t>
        </is>
      </c>
      <c r="E66" s="52" t="n">
        <v>46327</v>
      </c>
      <c r="F66" s="52" t="n">
        <v>46334</v>
      </c>
      <c r="G66" s="51" t="n"/>
      <c r="H66" s="51" t="n"/>
      <c r="I66" s="50" t="inlineStr">
        <is>
          <t>Новая</t>
        </is>
      </c>
      <c r="J66" s="50" t="n"/>
    </row>
    <row r="67">
      <c r="A67" s="53" t="n">
        <v>2</v>
      </c>
      <c r="B67" s="54" t="inlineStr">
        <is>
          <t>Установка вентиляционных решёток</t>
        </is>
      </c>
      <c r="C67" s="54" t="inlineStr">
        <is>
          <t>8. Инженерные системы</t>
        </is>
      </c>
      <c r="D67" s="54" t="inlineStr">
        <is>
          <t>Вентиляция</t>
        </is>
      </c>
      <c r="E67" s="55" t="n">
        <v>46334</v>
      </c>
      <c r="F67" s="55" t="n">
        <v>46339</v>
      </c>
      <c r="G67" s="54" t="n"/>
      <c r="H67" s="54" t="n"/>
      <c r="I67" s="53" t="inlineStr">
        <is>
          <t>Новая</t>
        </is>
      </c>
      <c r="J67" s="53" t="n"/>
    </row>
    <row r="68">
      <c r="A68" s="50" t="n">
        <v>3</v>
      </c>
      <c r="B68" s="51" t="inlineStr">
        <is>
          <t>Монтаж вытяжных вентиляторов</t>
        </is>
      </c>
      <c r="C68" s="51" t="inlineStr">
        <is>
          <t>8. Инженерные системы</t>
        </is>
      </c>
      <c r="D68" s="51" t="inlineStr">
        <is>
          <t>Вентиляция</t>
        </is>
      </c>
      <c r="E68" s="52" t="n">
        <v>46338</v>
      </c>
      <c r="F68" s="52" t="n">
        <v>46346</v>
      </c>
      <c r="G68" s="51" t="n"/>
      <c r="H68" s="51" t="n"/>
      <c r="I68" s="50" t="inlineStr">
        <is>
          <t>Новая</t>
        </is>
      </c>
      <c r="J68" s="50" t="n"/>
    </row>
    <row r="69">
      <c r="A69" s="53" t="n">
        <v>1</v>
      </c>
      <c r="B69" s="54" t="inlineStr">
        <is>
          <t>Разметка и подготовка основания</t>
        </is>
      </c>
      <c r="C69" s="54" t="inlineStr">
        <is>
          <t>9. Благоустройство</t>
        </is>
      </c>
      <c r="D69" s="54" t="inlineStr">
        <is>
          <t>Отмостка</t>
        </is>
      </c>
      <c r="E69" s="55" t="n">
        <v>46341</v>
      </c>
      <c r="F69" s="55" t="n">
        <v>46344</v>
      </c>
      <c r="G69" s="54" t="n"/>
      <c r="H69" s="54" t="n"/>
      <c r="I69" s="53" t="inlineStr">
        <is>
          <t>Новая</t>
        </is>
      </c>
      <c r="J69" s="53" t="n"/>
    </row>
    <row r="70">
      <c r="A70" s="50" t="n">
        <v>2</v>
      </c>
      <c r="B70" s="51" t="inlineStr">
        <is>
          <t>Укладка щебёночной подушки</t>
        </is>
      </c>
      <c r="C70" s="51" t="inlineStr">
        <is>
          <t>9. Благоустройство</t>
        </is>
      </c>
      <c r="D70" s="51" t="inlineStr">
        <is>
          <t>Отмостка</t>
        </is>
      </c>
      <c r="E70" s="52" t="n">
        <v>46344</v>
      </c>
      <c r="F70" s="52" t="n">
        <v>46347</v>
      </c>
      <c r="G70" s="51" t="n"/>
      <c r="H70" s="51" t="n"/>
      <c r="I70" s="50" t="inlineStr">
        <is>
          <t>Новая</t>
        </is>
      </c>
      <c r="J70" s="50" t="n"/>
    </row>
    <row r="71">
      <c r="A71" s="53" t="n">
        <v>3</v>
      </c>
      <c r="B71" s="54" t="inlineStr">
        <is>
          <t>Заливка бетонной отмостки</t>
        </is>
      </c>
      <c r="C71" s="54" t="inlineStr">
        <is>
          <t>9. Благоустройство</t>
        </is>
      </c>
      <c r="D71" s="54" t="inlineStr">
        <is>
          <t>Отмостка</t>
        </is>
      </c>
      <c r="E71" s="55" t="n">
        <v>46347</v>
      </c>
      <c r="F71" s="55" t="n">
        <v>46351</v>
      </c>
      <c r="G71" s="54" t="n"/>
      <c r="H71" s="54" t="n"/>
      <c r="I71" s="53" t="inlineStr">
        <is>
          <t>Новая</t>
        </is>
      </c>
      <c r="J71" s="53" t="n"/>
    </row>
    <row r="72">
      <c r="A72" s="50" t="n">
        <v>1</v>
      </c>
      <c r="B72" s="51" t="inlineStr">
        <is>
          <t>Укладка тротуарной плитки</t>
        </is>
      </c>
      <c r="C72" s="51" t="inlineStr">
        <is>
          <t>9. Благоустройство</t>
        </is>
      </c>
      <c r="D72" s="51" t="inlineStr">
        <is>
          <t>Озеленение и дорожки</t>
        </is>
      </c>
      <c r="E72" s="52" t="n">
        <v>46346</v>
      </c>
      <c r="F72" s="52" t="n">
        <v>46351</v>
      </c>
      <c r="G72" s="51" t="n"/>
      <c r="H72" s="51" t="n"/>
      <c r="I72" s="50" t="inlineStr">
        <is>
          <t>Новая</t>
        </is>
      </c>
      <c r="J72" s="50" t="n"/>
    </row>
    <row r="73">
      <c r="A73" s="53" t="n">
        <v>2</v>
      </c>
      <c r="B73" s="54" t="inlineStr">
        <is>
          <t>Посадка деревьев и кустарников</t>
        </is>
      </c>
      <c r="C73" s="54" t="inlineStr">
        <is>
          <t>9. Благоустройство</t>
        </is>
      </c>
      <c r="D73" s="54" t="inlineStr">
        <is>
          <t>Озеленение и дорожки</t>
        </is>
      </c>
      <c r="E73" s="55" t="n">
        <v>46350</v>
      </c>
      <c r="F73" s="55" t="n">
        <v>46353</v>
      </c>
      <c r="G73" s="54" t="n"/>
      <c r="H73" s="54" t="n"/>
      <c r="I73" s="53" t="inlineStr">
        <is>
          <t>Новая</t>
        </is>
      </c>
      <c r="J73" s="53" t="n"/>
    </row>
    <row r="74">
      <c r="A74" s="50" t="n">
        <v>3</v>
      </c>
      <c r="B74" s="51" t="inlineStr">
        <is>
          <t>Посев газона</t>
        </is>
      </c>
      <c r="C74" s="51" t="inlineStr">
        <is>
          <t>9. Благоустройство</t>
        </is>
      </c>
      <c r="D74" s="51" t="inlineStr">
        <is>
          <t>Озеленение и дорожки</t>
        </is>
      </c>
      <c r="E74" s="52" t="n">
        <v>46353</v>
      </c>
      <c r="F74" s="52" t="n">
        <v>46356</v>
      </c>
      <c r="G74" s="51" t="n"/>
      <c r="H74" s="51" t="n"/>
      <c r="I74" s="50" t="inlineStr">
        <is>
          <t>Новая</t>
        </is>
      </c>
      <c r="J74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2026-04-10T16:58:06Z</dcterms:created>
  <dcterms:modified xmlns:dcterms="http://purl.org/dc/terms/" xmlns:xsi="http://www.w3.org/2001/XMLSchema-instance" xsi:type="dcterms:W3CDTF">2026-04-24T19:17:32Z</dcterms:modified>
  <cp:revision>0</cp:revision>
</cp:coreProperties>
</file>